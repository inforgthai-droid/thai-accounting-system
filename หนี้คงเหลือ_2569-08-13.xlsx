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งบฐานะการเงิน" sheetId="1" state="visible" r:id="rId3"/>
    <sheet name="งบกำไรเบ็ดเสร็จ3 เดือน" sheetId="2" state="visible" r:id="rId4"/>
    <sheet name="งบกำไรเบ็ดเสร็จ 6 เดือน" sheetId="3" state="visible" r:id="rId5"/>
    <sheet name="งบการเปลี่ยนแปลง (ส่วนได้เสีย)" sheetId="4" state="visible" r:id="rId6"/>
    <sheet name="งบกระแสเงินสด " sheetId="5" state="visible" r:id="rId7"/>
  </sheets>
  <definedNames>
    <definedName function="false" hidden="false" localSheetId="4" name="_xlnm.Print_Area" vbProcedure="false">'งบกระแสเงินสด '!$A$1:$I$93</definedName>
    <definedName function="false" hidden="false" localSheetId="3" name="_xlnm.Print_Area" vbProcedure="false">'งบการเปลี่ยนแปลง (ส่วนได้เสีย)'!$A$1:$M$29</definedName>
    <definedName function="false" hidden="false" localSheetId="2" name="_xlnm.Print_Area" vbProcedure="false">'งบกำไรเบ็ดเสร็จ 6 เดือน'!$A$1:$K$31</definedName>
    <definedName function="false" hidden="false" localSheetId="1" name="_xlnm.Print_Area" vbProcedure="false">'งบกำไรเบ็ดเสร็จ3 เดือน'!$A$1:$K$30</definedName>
    <definedName function="false" hidden="false" localSheetId="0" name="_xlnm.Print_Area" vbProcedure="false">งบฐานะการเงิน!$A$1:$K$93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<sst xmlns="http://schemas.openxmlformats.org/spreadsheetml/2006/main" count="251" uniqueCount="164">
  <si>
    <t xml:space="preserve">"ยังไม่ได้ตรวจสอบ"</t>
  </si>
  <si>
    <t xml:space="preserve">"สอบทานแล้ว"</t>
  </si>
  <si>
    <t xml:space="preserve">- 2 -</t>
  </si>
  <si>
    <t xml:space="preserve">บริษัท บีจีที คอร์ปอเรชั่น จำกัด (มหาชน) </t>
  </si>
  <si>
    <t xml:space="preserve">งบฐานะการเงิน</t>
  </si>
  <si>
    <t xml:space="preserve">ณ วันที่  30 มิถุนายน 2569</t>
  </si>
  <si>
    <t xml:space="preserve">สินทรัพย์</t>
  </si>
  <si>
    <t xml:space="preserve">บาท</t>
  </si>
  <si>
    <t xml:space="preserve">ณ วันที่ 30</t>
  </si>
  <si>
    <t xml:space="preserve">ณ วันที่ 31</t>
  </si>
  <si>
    <t xml:space="preserve">หมายเหตุ</t>
  </si>
  <si>
    <t xml:space="preserve">มิถุนายน 2569</t>
  </si>
  <si>
    <t xml:space="preserve">ธันวาคม 2568</t>
  </si>
  <si>
    <t xml:space="preserve">สินทรัพย์หมุนเวียน</t>
  </si>
  <si>
    <t xml:space="preserve">เงินสดและรายการเทียบเท่าเงินสด</t>
  </si>
  <si>
    <t xml:space="preserve">ลูกหนี้การค้า - กิจการอื่น</t>
  </si>
  <si>
    <t xml:space="preserve">ลูกหนี้หมุนเวียนอื่น</t>
  </si>
  <si>
    <t xml:space="preserve">สินค้าคงเหลือ </t>
  </si>
  <si>
    <t xml:space="preserve">สินทรัพย์ทางการเงินหมุนเวียนอื่น </t>
  </si>
  <si>
    <t xml:space="preserve">สินทรัพย์หมุนเวียนอื่น </t>
  </si>
  <si>
    <t xml:space="preserve">ภาษีขายของสินค้าฝากขาย</t>
  </si>
  <si>
    <t xml:space="preserve">เงินมัดจำค่าสินค้า</t>
  </si>
  <si>
    <t xml:space="preserve">อื่น ๆ</t>
  </si>
  <si>
    <t xml:space="preserve">รวมสินทรัพย์หมุนเวียน</t>
  </si>
  <si>
    <t xml:space="preserve">สินทรัพย์ไม่หมุนเวียน</t>
  </si>
  <si>
    <t xml:space="preserve">เงินลงทุนในบริษัทร่วม</t>
  </si>
  <si>
    <t xml:space="preserve">ที่ดิน อาคารและอุปกรณ์</t>
  </si>
  <si>
    <t xml:space="preserve">8, 12, 13</t>
  </si>
  <si>
    <t xml:space="preserve">สินทรัพย์สิทธิการใช้</t>
  </si>
  <si>
    <t xml:space="preserve">สินทรัพย์ไม่มีตัวตน</t>
  </si>
  <si>
    <t xml:space="preserve">สินทรัพย์ไม่หมุนเวียนอื่น - เงินมัดจำการเช่า</t>
  </si>
  <si>
    <t xml:space="preserve">สินทรัพย์ภาษีเงินได้รอการตัดบัญชี</t>
  </si>
  <si>
    <t xml:space="preserve">รวมสินทรัพย์ไม่หมุนเวียน</t>
  </si>
  <si>
    <t xml:space="preserve">รวมสินทรัพย์  </t>
  </si>
  <si>
    <t xml:space="preserve">- 3 -</t>
  </si>
  <si>
    <t xml:space="preserve">งบฐานะการเงิน (ต่อ)</t>
  </si>
  <si>
    <t xml:space="preserve">หนี้สินและส่วนของผู้ถือหุ้น</t>
  </si>
  <si>
    <t xml:space="preserve">หนี้สินหมุนเวียน</t>
  </si>
  <si>
    <t xml:space="preserve">เงินเบิกเกินบัญชีและเงินกู้ยืมระยะสั้นจากสถาบันการเงิน</t>
  </si>
  <si>
    <t xml:space="preserve">เจ้าหนี้การค้า - กิจการอื่น</t>
  </si>
  <si>
    <t xml:space="preserve">เจ้าหนี้หมุนเวียนอื่น</t>
  </si>
  <si>
    <t xml:space="preserve">ค่าใช้จ่ายค้างจ่าย</t>
  </si>
  <si>
    <t xml:space="preserve">เจ้าหนี้ค่าซื้อสินทรัพย์</t>
  </si>
  <si>
    <t xml:space="preserve">ส่วนของเงินกู้ยืมระยะยาวที่ถึงกำหนดชำระภายในหนึ่งปี</t>
  </si>
  <si>
    <t xml:space="preserve">หนี้สินตามสัญญาเช่าที่ถึงกำหนดชำระภายในหนึ่งปี</t>
  </si>
  <si>
    <t xml:space="preserve">หนี้สินหมุนเวียนอื่น</t>
  </si>
  <si>
    <t xml:space="preserve">รวมหนี้สินหมุนเวียน</t>
  </si>
  <si>
    <t xml:space="preserve">หนี้สินไม่หมุนเวียน</t>
  </si>
  <si>
    <t xml:space="preserve">เงินกู้ยืมระยะยาว</t>
  </si>
  <si>
    <t xml:space="preserve">หนี้สินตามสัญญาเช่า</t>
  </si>
  <si>
    <t xml:space="preserve">ประมาณการหนี้สินไม่หมุนเวียนผลประโยชน์พนักงาน</t>
  </si>
  <si>
    <t xml:space="preserve">ประมาณการหนี้สินค่าใช้จ่ายรื้อถอน</t>
  </si>
  <si>
    <t xml:space="preserve">หนี้สินไม่หมุนเวียนอื่น</t>
  </si>
  <si>
    <t xml:space="preserve">รวมหนี้สินไม่หมุนเวียน</t>
  </si>
  <si>
    <t xml:space="preserve">รวมหนี้สิน</t>
  </si>
  <si>
    <t xml:space="preserve">- 4 -</t>
  </si>
  <si>
    <t xml:space="preserve">หนี้สินและส่วนของผู้ถือหุ้น (ต่อ)</t>
  </si>
  <si>
    <t xml:space="preserve">ส่วนของผู้ถือหุ้น</t>
  </si>
  <si>
    <t xml:space="preserve">ทุนเรือนหุ้น  </t>
  </si>
  <si>
    <t xml:space="preserve">ทุนจดทะเบียน    </t>
  </si>
  <si>
    <t xml:space="preserve">    หุ้นสามัญ 513,318,064 หุ้น มูลค่าหุ้นละ 0.50 บาท</t>
  </si>
  <si>
    <t xml:space="preserve">ทุนที่ออกและชำระแล้ว</t>
  </si>
  <si>
    <t xml:space="preserve">    หุ้นสามัญ 363,519,904 หุ้น มูลค่าหุ้นละ 0.50 บาท</t>
  </si>
  <si>
    <t xml:space="preserve">ส่วนเกินมูลค่าหุ้นสามัญ</t>
  </si>
  <si>
    <t xml:space="preserve">กำไรสะสม</t>
  </si>
  <si>
    <t xml:space="preserve">จัดสรรแล้ว - สำรองตามกฎหมาย</t>
  </si>
  <si>
    <t xml:space="preserve">ยังไม่ได้จัดสรร</t>
  </si>
  <si>
    <t xml:space="preserve">รวมส่วนของผู้ถือหุ้น</t>
  </si>
  <si>
    <t xml:space="preserve">รวมหนี้สินและส่วนของผู้ถือหุ้น</t>
  </si>
  <si>
    <t xml:space="preserve">- 5 -</t>
  </si>
  <si>
    <t xml:space="preserve">บริษัท บีจีที คอร์ปอเรชั่น จำกัด (มหาชน)</t>
  </si>
  <si>
    <t xml:space="preserve">งบกำไรขาดทุนเบ็ดเสร็จ</t>
  </si>
  <si>
    <t xml:space="preserve">สำหรับงวดสามเดือนสิ้นสุดวันที่ 30 มิถุนายน 2569</t>
  </si>
  <si>
    <t xml:space="preserve">รายได้</t>
  </si>
  <si>
    <t xml:space="preserve">รายได้จากการขาย</t>
  </si>
  <si>
    <t xml:space="preserve">รายได้อื่น</t>
  </si>
  <si>
    <t xml:space="preserve">รวมรายได้</t>
  </si>
  <si>
    <t xml:space="preserve">ค่าใช้จ่าย</t>
  </si>
  <si>
    <t xml:space="preserve">ต้นทุนขาย</t>
  </si>
  <si>
    <t xml:space="preserve">ต้นทุนในการจัดจำหน่าย</t>
  </si>
  <si>
    <t xml:space="preserve">ค่าใช้จ่ายในการบริหาร</t>
  </si>
  <si>
    <t xml:space="preserve">รวมค่าใช้จ่าย</t>
  </si>
  <si>
    <t xml:space="preserve">กำไร (ขาดทุน) จากการดำเนินงาน</t>
  </si>
  <si>
    <t xml:space="preserve">ต้นทุนทางการเงิน</t>
  </si>
  <si>
    <t xml:space="preserve">กำไร (ขาดทุน) ก่อนภาษีเงินได้</t>
  </si>
  <si>
    <t xml:space="preserve">ค่าใช้จ่าย (รายได้) ภาษีเงินได้</t>
  </si>
  <si>
    <t xml:space="preserve">กำไร (ขาดทุน) สำหรับงวด</t>
  </si>
  <si>
    <t xml:space="preserve">กำไร (ขาดทุน) เบ็ดเสร็จอื่น </t>
  </si>
  <si>
    <t xml:space="preserve">กำไร (ขาดทุน) เบ็ดเสร็จรวมสำหรับงวด</t>
  </si>
  <si>
    <t xml:space="preserve">กำไรต่อหุ้น</t>
  </si>
  <si>
    <t xml:space="preserve">กำไร (ขาดทุน) ต่อหุ้นขั้นพื้นฐาน (บาทต่อหุ้น)</t>
  </si>
  <si>
    <t xml:space="preserve">- 6 -</t>
  </si>
  <si>
    <t xml:space="preserve">สำหรับงวดหกเดือนสิ้นสุดวันที่ 30 มิถุนายน 2569</t>
  </si>
  <si>
    <t xml:space="preserve">- 7 -</t>
  </si>
  <si>
    <t xml:space="preserve">งบการเปลี่ยนแปลงส่วนของผู้ถือหุ้น</t>
  </si>
  <si>
    <t xml:space="preserve">ทุนเรือนหุ้น</t>
  </si>
  <si>
    <t xml:space="preserve">ส่วนเกินมูลค่า</t>
  </si>
  <si>
    <t xml:space="preserve">รวมส่วนของ</t>
  </si>
  <si>
    <t xml:space="preserve">ที่ออก</t>
  </si>
  <si>
    <t xml:space="preserve">หุ้นสามัญ</t>
  </si>
  <si>
    <t xml:space="preserve">จัดสรรแล้ว</t>
  </si>
  <si>
    <t xml:space="preserve">ผู้ถือหุ้น</t>
  </si>
  <si>
    <t xml:space="preserve">และชำระแล้ว</t>
  </si>
  <si>
    <t xml:space="preserve">ทุนสำรอง</t>
  </si>
  <si>
    <t xml:space="preserve">ตามกฎหมาย</t>
  </si>
  <si>
    <t xml:space="preserve">ยอดคงเหลือ ณ วันที่ 1 มกราคม 2569</t>
  </si>
  <si>
    <t xml:space="preserve">กำไร (ขาดทุน) เบ็ดเสร็จ</t>
  </si>
  <si>
    <t xml:space="preserve">ยอดคงเหลือ ณ วันที่ 30 มิถุนายน 2569</t>
  </si>
  <si>
    <t xml:space="preserve">ยอดคงเหลือ ณ วันที่ 1 มกราคม 2568</t>
  </si>
  <si>
    <t xml:space="preserve">ยอดคงเหลือ ณ วันที่ 30 มิถุนายน 2568</t>
  </si>
  <si>
    <t xml:space="preserve">- 8 -</t>
  </si>
  <si>
    <t xml:space="preserve">งบกระแสเงินสด</t>
  </si>
  <si>
    <t xml:space="preserve">กระแสเงินสดจากกิจกรรมดำเนินงาน</t>
  </si>
  <si>
    <t xml:space="preserve">รายการปรับกระทบกำไรสำหรับงวดเป็นเงินสดรับ</t>
  </si>
  <si>
    <t xml:space="preserve">(จ่าย) จากกิจกรรมดำเนินงาน</t>
  </si>
  <si>
    <t xml:space="preserve">ขาดทุน (กำไร) ที่ยังไม่เกิดขึ้นจากการเปลี่ยนแปลง</t>
  </si>
  <si>
    <t xml:space="preserve">ค่าเผื่อการลดมูลค่าของสินค้าเพิ่มขึ้น (โอนกลับ) </t>
  </si>
  <si>
    <t xml:space="preserve">ขาดทุน (กำไร) จากการขายและตัดจำหน่ายทรัพย์สินถาวร</t>
  </si>
  <si>
    <t xml:space="preserve">ขาดทุน (กำไร) จากการตัดจำหน่ายสินทรัพย์สิทธิการใช้</t>
  </si>
  <si>
    <t xml:space="preserve">ค่าเสื่อมราคาและค่าตัดจำหน่าย</t>
  </si>
  <si>
    <t xml:space="preserve">ค่าอัตราแลกเปลี่ยนเงินตราต่างประเทศ</t>
  </si>
  <si>
    <t xml:space="preserve">ค่าใช้จ่ายผลประโยชน์ของพนักงาน</t>
  </si>
  <si>
    <t xml:space="preserve">ดอกเบี้ยรับ</t>
  </si>
  <si>
    <t xml:space="preserve">ดอกเบี้ยจ่าย</t>
  </si>
  <si>
    <t xml:space="preserve">กำไรจากการดำเนินงานก่อนการเปลี่ยนแปลง</t>
  </si>
  <si>
    <t xml:space="preserve">ในสินทรัพย์และหนี้สินดำเนินงาน</t>
  </si>
  <si>
    <t xml:space="preserve">สินทรัพย์ดำเนินงาน (เพิ่มขึ้น) ลดลง</t>
  </si>
  <si>
    <t xml:space="preserve">- 9 -</t>
  </si>
  <si>
    <t xml:space="preserve">งบกระแสเงินสด (ต่อ)</t>
  </si>
  <si>
    <t xml:space="preserve">สินทรัพย์หมุนเวียนอื่น</t>
  </si>
  <si>
    <t xml:space="preserve">หนี้สินดำเนินงานเพิ่มขึ้น (ลดลง)</t>
  </si>
  <si>
    <t xml:space="preserve">เจ้าหนี้หมุนเวียนอื่น - ค่าใช้จ่ายค้างจ่าย </t>
  </si>
  <si>
    <t xml:space="preserve">เจ้าหนี้หมุนเวียนอื่น - อื่นๆ</t>
  </si>
  <si>
    <t xml:space="preserve">เงินสดจ่ายประมาณการหนี้สินค่าใช้จ่ายรื้อถอน</t>
  </si>
  <si>
    <t xml:space="preserve">หนี้สินไม่หมุนเวียนอื่น-เงินประกันพนักงาน</t>
  </si>
  <si>
    <t xml:space="preserve">เงินสดจ่ายหนี้สินประมาณผลประโยชน์พนักงาน</t>
  </si>
  <si>
    <t xml:space="preserve">เงินสดสุทธิได้มา (ใช้ไป) จากการดำเนินงาน</t>
  </si>
  <si>
    <t xml:space="preserve">เงินสดจ่ายภาษีเงินได้</t>
  </si>
  <si>
    <t xml:space="preserve">เงินสดสุทธิได้มา (ใช้ไป) จากกิจกรรมดำเนินงาน</t>
  </si>
  <si>
    <t xml:space="preserve">กระแสเงินสดจากกิจกรรมลงทุน</t>
  </si>
  <si>
    <t xml:space="preserve">เงินสดจ่ายในการซื้อที่ดิน อาคารและอุปกรณ์</t>
  </si>
  <si>
    <t xml:space="preserve">เงินสดจ่ายเงินมัดจำสินทรัพย์สิทธิการใช้</t>
  </si>
  <si>
    <t xml:space="preserve">เงินสดจ่ายในการซื้อสินทรัพย์ไม่มีตัวตน</t>
  </si>
  <si>
    <t xml:space="preserve">เงินสดรับจากการจำหน่ายที่ดิน อาคารและอุปกรณ์</t>
  </si>
  <si>
    <t xml:space="preserve">เงินสดรับเงินมัดจำรับคืนค่าสิทธิการใช้</t>
  </si>
  <si>
    <t xml:space="preserve">เงินสดสุทธิได้มา (ใช้ไป) จากกิจกรรมลงทุน</t>
  </si>
  <si>
    <t xml:space="preserve">- 10 -</t>
  </si>
  <si>
    <t xml:space="preserve">กระแสเงินสดจากกิจกรรมจัดหาเงิน</t>
  </si>
  <si>
    <t xml:space="preserve">เงินสดรับจากเงินเบิกเกินบัญชีและเงินกู้ยืมระยะสั้นจากสถาบันการเงิน</t>
  </si>
  <si>
    <t xml:space="preserve">เงินสดจ่ายดอกเบี้ย</t>
  </si>
  <si>
    <t xml:space="preserve">หนี้สินตามสัญญาเช่า (ลดลง)</t>
  </si>
  <si>
    <t xml:space="preserve">เงินสดจ่ายเงินกู้ยืมระยะยาวจากสถาบันการเงิน</t>
  </si>
  <si>
    <t xml:space="preserve">เงินสดสุทธิได้มา (ใช้ไป) จากกิจกรรมจัดหาเงิน</t>
  </si>
  <si>
    <t xml:space="preserve">เงินสดและรายการเทียบเท่าเงินสดเพิ่มขึ้น (ลดลง) สุทธิ</t>
  </si>
  <si>
    <t xml:space="preserve">เงินสดและรายการเทียบเท่าเงินสดต้นงวด</t>
  </si>
  <si>
    <t xml:space="preserve">เงินสดและรายการเทียบเท่าเงินสดปลายงวด</t>
  </si>
  <si>
    <t xml:space="preserve">ข้อมูลงบกระแสเงินสดเปิดเผยเพิ่มเติม</t>
  </si>
  <si>
    <t xml:space="preserve">ที่ดิน อาคารและอุปกรณ์ที่เพิ่มขึ้น (ลดลง) จากเจ้าหนี้ค่าซื้อสินทรัพย์</t>
  </si>
  <si>
    <t xml:space="preserve">การรับรู้รายการสินทรัพย์สิทธิการใช้</t>
  </si>
  <si>
    <t xml:space="preserve">การเปลี่ยนแปลงเงื่อนไขสัญญาสินทรัพย์สิทธิการใช้</t>
  </si>
  <si>
    <t xml:space="preserve">โอนสินทรัพย์ไม่หมุนเวียนอื่น - เงินมัดจำการเช่า เป็นสินทรัพย์สิทธิการใช้</t>
  </si>
  <si>
    <t xml:space="preserve">โอนสินทรัพย์สิทธิการใช้ - ยานพาหนะ เป็นที่ดิน อาคารและอุปกรณ์</t>
  </si>
  <si>
    <t xml:space="preserve">สินทรัพย์ไม่มีตัวตนที่ไม่ใช่จ่ายกระแสเงินสด</t>
  </si>
  <si>
    <t xml:space="preserve">โอนสินทรัพย์สิทธิการใช้ เป็นสินทรัพย์ไม่หมุนเวียนอื่น - เงินมัดจำการเช่า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</si>
</sst>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(* #,##0.00_);_(* \(#,##0.00\);_(* \-??_);_(@_)"/>
    <numFmt numFmtId="166" formatCode="_-* #,##0.00_-;\-* #,##0.00_-;_-* \-??_-;_-@_-"/>
    <numFmt numFmtId="167" formatCode="@"/>
    <numFmt numFmtId="168" formatCode="#,##0.00\ ;\(#,##0.00\)"/>
    <numFmt numFmtId="169" formatCode="#,##0.00"/>
    <numFmt numFmtId="170" formatCode="_-* #,##0.00000_-;\-* #,##0.00000_-;_-* \-?????_-;_-@_-"/>
    <numFmt numFmtId="171" formatCode="0.00"/>
    <numFmt numFmtId="172" formatCode="_-* #,##0.00_-;\-* #,##0.00_-;_-* \-?????_-;_-@_-"/>
    <numFmt numFmtId="173" formatCode="#,##0"/>
    <numFmt numFmtId="174" formatCode="_-* #,##0.000_-;\-* #,##0.000_-;_-* \-??_-;_-@_-"/>
    <numFmt numFmtId="175" formatCode="#,##0.00_);\(#,##0.00\)"/>
    <numFmt numFmtId="176" formatCode="\(#,##0.00_);\(#,##0.00\)"/>
  </numFmts>
  <fonts count="22">
    <font>
      <sz val="11"/>
      <color theme="1"/>
      <name val="Calibri"/>
      <family val="2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Cordia New"/>
      <family val="2"/>
      <charset val="1"/>
    </font>
    <font>
      <sz val="10"/>
      <name val="Arial"/>
      <family val="2"/>
      <charset val="1"/>
    </font>
    <font>
      <sz val="16"/>
      <name val="Angsana New"/>
      <family val="1"/>
      <charset val="1"/>
    </font>
    <font>
      <b val="true"/>
      <sz val="16"/>
      <name val="Angsana New"/>
      <family val="1"/>
      <charset val="1"/>
    </font>
    <font>
      <b val="true"/>
      <u val="single"/>
      <sz val="16"/>
      <name val="Angsana New"/>
      <family val="1"/>
      <charset val="1"/>
    </font>
    <font>
      <u val="single"/>
      <sz val="16"/>
      <name val="Angsana New"/>
      <family val="1"/>
      <charset val="1"/>
    </font>
    <font>
      <sz val="16"/>
      <color rgb="FF000000"/>
      <name val="Cordia New"/>
      <family val="2"/>
      <charset val="222"/>
    </font>
    <font>
      <sz val="16"/>
      <name val="Cordia New"/>
      <family val="2"/>
      <charset val="222"/>
    </font>
    <font>
      <b val="true"/>
      <sz val="16"/>
      <color rgb="FF000000"/>
      <name val="Angsana New"/>
      <family val="1"/>
      <charset val="222"/>
    </font>
    <font>
      <sz val="16"/>
      <color rgb="FF000000"/>
      <name val="Angsana New"/>
      <family val="1"/>
      <charset val="222"/>
    </font>
    <font>
      <sz val="16"/>
      <name val="Angsana New"/>
      <family val="1"/>
      <charset val="222"/>
    </font>
    <font>
      <sz val="16"/>
      <color rgb="FF000000"/>
      <name val="Angsana New"/>
      <family val="1"/>
      <charset val="1"/>
    </font>
    <font>
      <b val="true"/>
      <sz val="16"/>
      <color rgb="FF000000"/>
      <name val="Angsana New"/>
      <family val="1"/>
      <charset val="1"/>
    </font>
    <font>
      <sz val="13"/>
      <color rgb="FF000000"/>
      <name val="Angsana New"/>
      <family val="1"/>
      <charset val="1"/>
    </font>
    <font>
      <sz val="12"/>
      <color rgb="FF000000"/>
      <name val="Angsana New"/>
      <family val="1"/>
      <charset val="1"/>
    </font>
    <font>
      <sz val="10"/>
      <color rgb="FF000000"/>
      <name val="Angsana New"/>
      <family val="1"/>
      <charset val="1"/>
    </font>
    <font>
      <sz val="11"/>
      <color rgb="FF000000"/>
      <name val="Angsana New"/>
      <family val="1"/>
      <charset val="1"/>
    </font>
    <font>
      <sz val="16"/>
      <color rgb="FF000000"/>
      <name val="Cordia Ne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double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6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3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6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5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20" applyFont="true" applyBorder="false" applyAlignment="true" applyProtection="false">
      <alignment horizontal="distributed" vertical="center" textRotation="0" wrapText="false" indent="0" shrinkToFit="false"/>
      <protection locked="true" hidden="false"/>
    </xf>
    <xf numFmtId="164" fontId="10" fillId="2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2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2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3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2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23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4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4" fillId="2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3" fillId="2" borderId="0" xfId="2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4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3" fillId="2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2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2" borderId="3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2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3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2" borderId="4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4" fillId="2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2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2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2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2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3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23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3" fillId="0" borderId="0" xfId="2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3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4" fillId="0" borderId="2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3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4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4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3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6" fillId="0" borderId="0" xfId="2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6" fillId="0" borderId="2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2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2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26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2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1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6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1" xfId="2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0" xfId="2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3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6" fillId="0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2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 2" xfId="20"/>
    <cellStyle name="Comma 4" xfId="21"/>
    <cellStyle name="Comma_งบการเงินไทย1  2" xfId="22"/>
    <cellStyle name="Normal 2" xfId="23"/>
    <cellStyle name="Normal_cashflowQ2 09" xfId="24"/>
    <cellStyle name="Normal_งบการเงินไทย  2 2" xfId="25"/>
    <cellStyle name="Normal_งบการเงินไทย1  2" xfId="26"/>
    <cellStyle name="ปกติ_cash flow 2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N123"/>
  <sheetViews>
    <sheetView showFormulas="false" showGridLines="true" showRowColHeaders="true" showZeros="true" rightToLeft="false" tabSelected="true" showOutlineSymbols="true" defaultGridColor="true" view="pageBreakPreview" topLeftCell="A1" colorId="64" zoomScale="160" zoomScaleNormal="85" zoomScalePageLayoutView="160" workbookViewId="0">
      <selection pane="topLeft" activeCell="E1" activeCellId="0" sqref="E1"/>
    </sheetView>
  </sheetViews>
  <sheetFormatPr defaultColWidth="8.2890625" defaultRowHeight="24" zeroHeight="false" outlineLevelRow="0" outlineLevelCol="0"/>
  <cols>
    <col collapsed="false" customWidth="true" hidden="false" outlineLevel="0" max="3" min="1" style="1" width="1.42"/>
    <col collapsed="false" customWidth="true" hidden="false" outlineLevel="0" max="4" min="4" style="1" width="7.42"/>
    <col collapsed="false" customWidth="true" hidden="false" outlineLevel="0" max="5" min="5" style="1" width="38"/>
    <col collapsed="false" customWidth="true" hidden="false" outlineLevel="0" max="6" min="6" style="1" width="7.57"/>
    <col collapsed="false" customWidth="true" hidden="false" outlineLevel="0" max="7" min="7" style="1" width="1.29"/>
    <col collapsed="false" customWidth="true" hidden="false" outlineLevel="0" max="8" min="8" style="1" width="1"/>
    <col collapsed="false" customWidth="true" hidden="false" outlineLevel="0" max="9" min="9" style="2" width="14.86"/>
    <col collapsed="false" customWidth="true" hidden="false" outlineLevel="0" max="10" min="10" style="1" width="0.86"/>
    <col collapsed="false" customWidth="true" hidden="false" outlineLevel="0" max="11" min="11" style="1" width="14.71"/>
    <col collapsed="false" customWidth="true" hidden="false" outlineLevel="0" max="12" min="12" style="1" width="13.57"/>
    <col collapsed="false" customWidth="true" hidden="false" outlineLevel="0" max="13" min="13" style="1" width="11"/>
    <col collapsed="false" customWidth="true" hidden="false" outlineLevel="0" max="14" min="14" style="1" width="12.86"/>
    <col collapsed="false" customWidth="false" hidden="false" outlineLevel="0" max="256" min="15" style="1" width="8.29"/>
    <col collapsed="false" customWidth="true" hidden="false" outlineLevel="0" max="259" min="257" style="1" width="1.42"/>
    <col collapsed="false" customWidth="true" hidden="false" outlineLevel="0" max="260" min="260" style="1" width="7.42"/>
    <col collapsed="false" customWidth="true" hidden="false" outlineLevel="0" max="261" min="261" style="1" width="33.86"/>
    <col collapsed="false" customWidth="true" hidden="false" outlineLevel="0" max="262" min="262" style="1" width="8.15"/>
    <col collapsed="false" customWidth="true" hidden="false" outlineLevel="0" max="263" min="263" style="1" width="1.29"/>
    <col collapsed="false" customWidth="true" hidden="false" outlineLevel="0" max="264" min="264" style="1" width="1"/>
    <col collapsed="false" customWidth="true" hidden="false" outlineLevel="0" max="265" min="265" style="1" width="15.85"/>
    <col collapsed="false" customWidth="true" hidden="false" outlineLevel="0" max="266" min="266" style="1" width="0.86"/>
    <col collapsed="false" customWidth="true" hidden="false" outlineLevel="0" max="267" min="267" style="1" width="15.85"/>
    <col collapsed="false" customWidth="true" hidden="false" outlineLevel="0" max="268" min="268" style="1" width="13.57"/>
    <col collapsed="false" customWidth="true" hidden="false" outlineLevel="0" max="269" min="269" style="1" width="11"/>
    <col collapsed="false" customWidth="true" hidden="false" outlineLevel="0" max="270" min="270" style="1" width="12.86"/>
    <col collapsed="false" customWidth="false" hidden="false" outlineLevel="0" max="512" min="271" style="1" width="8.29"/>
    <col collapsed="false" customWidth="true" hidden="false" outlineLevel="0" max="515" min="513" style="1" width="1.42"/>
    <col collapsed="false" customWidth="true" hidden="false" outlineLevel="0" max="516" min="516" style="1" width="7.42"/>
    <col collapsed="false" customWidth="true" hidden="false" outlineLevel="0" max="517" min="517" style="1" width="33.86"/>
    <col collapsed="false" customWidth="true" hidden="false" outlineLevel="0" max="518" min="518" style="1" width="8.15"/>
    <col collapsed="false" customWidth="true" hidden="false" outlineLevel="0" max="519" min="519" style="1" width="1.29"/>
    <col collapsed="false" customWidth="true" hidden="false" outlineLevel="0" max="520" min="520" style="1" width="1"/>
    <col collapsed="false" customWidth="true" hidden="false" outlineLevel="0" max="521" min="521" style="1" width="15.85"/>
    <col collapsed="false" customWidth="true" hidden="false" outlineLevel="0" max="522" min="522" style="1" width="0.86"/>
    <col collapsed="false" customWidth="true" hidden="false" outlineLevel="0" max="523" min="523" style="1" width="15.85"/>
    <col collapsed="false" customWidth="true" hidden="false" outlineLevel="0" max="524" min="524" style="1" width="13.57"/>
    <col collapsed="false" customWidth="true" hidden="false" outlineLevel="0" max="525" min="525" style="1" width="11"/>
    <col collapsed="false" customWidth="true" hidden="false" outlineLevel="0" max="526" min="526" style="1" width="12.86"/>
    <col collapsed="false" customWidth="false" hidden="false" outlineLevel="0" max="768" min="527" style="1" width="8.29"/>
    <col collapsed="false" customWidth="true" hidden="false" outlineLevel="0" max="771" min="769" style="1" width="1.42"/>
    <col collapsed="false" customWidth="true" hidden="false" outlineLevel="0" max="772" min="772" style="1" width="7.42"/>
    <col collapsed="false" customWidth="true" hidden="false" outlineLevel="0" max="773" min="773" style="1" width="33.86"/>
    <col collapsed="false" customWidth="true" hidden="false" outlineLevel="0" max="774" min="774" style="1" width="8.15"/>
    <col collapsed="false" customWidth="true" hidden="false" outlineLevel="0" max="775" min="775" style="1" width="1.29"/>
    <col collapsed="false" customWidth="true" hidden="false" outlineLevel="0" max="776" min="776" style="1" width="1"/>
    <col collapsed="false" customWidth="true" hidden="false" outlineLevel="0" max="777" min="777" style="1" width="15.85"/>
    <col collapsed="false" customWidth="true" hidden="false" outlineLevel="0" max="778" min="778" style="1" width="0.86"/>
    <col collapsed="false" customWidth="true" hidden="false" outlineLevel="0" max="779" min="779" style="1" width="15.85"/>
    <col collapsed="false" customWidth="true" hidden="false" outlineLevel="0" max="780" min="780" style="1" width="13.57"/>
    <col collapsed="false" customWidth="true" hidden="false" outlineLevel="0" max="781" min="781" style="1" width="11"/>
    <col collapsed="false" customWidth="true" hidden="false" outlineLevel="0" max="782" min="782" style="1" width="12.86"/>
    <col collapsed="false" customWidth="false" hidden="false" outlineLevel="0" max="1024" min="783" style="1" width="8.29"/>
    <col collapsed="false" customWidth="true" hidden="false" outlineLevel="0" max="1027" min="1025" style="1" width="1.42"/>
    <col collapsed="false" customWidth="true" hidden="false" outlineLevel="0" max="1028" min="1028" style="1" width="7.42"/>
    <col collapsed="false" customWidth="true" hidden="false" outlineLevel="0" max="1029" min="1029" style="1" width="33.86"/>
    <col collapsed="false" customWidth="true" hidden="false" outlineLevel="0" max="1030" min="1030" style="1" width="8.15"/>
    <col collapsed="false" customWidth="true" hidden="false" outlineLevel="0" max="1031" min="1031" style="1" width="1.29"/>
    <col collapsed="false" customWidth="true" hidden="false" outlineLevel="0" max="1032" min="1032" style="1" width="1"/>
    <col collapsed="false" customWidth="true" hidden="false" outlineLevel="0" max="1033" min="1033" style="1" width="15.85"/>
    <col collapsed="false" customWidth="true" hidden="false" outlineLevel="0" max="1034" min="1034" style="1" width="0.86"/>
    <col collapsed="false" customWidth="true" hidden="false" outlineLevel="0" max="1035" min="1035" style="1" width="15.85"/>
    <col collapsed="false" customWidth="true" hidden="false" outlineLevel="0" max="1036" min="1036" style="1" width="13.57"/>
    <col collapsed="false" customWidth="true" hidden="false" outlineLevel="0" max="1037" min="1037" style="1" width="11"/>
    <col collapsed="false" customWidth="true" hidden="false" outlineLevel="0" max="1038" min="1038" style="1" width="12.86"/>
    <col collapsed="false" customWidth="false" hidden="false" outlineLevel="0" max="1280" min="1039" style="1" width="8.29"/>
    <col collapsed="false" customWidth="true" hidden="false" outlineLevel="0" max="1283" min="1281" style="1" width="1.42"/>
    <col collapsed="false" customWidth="true" hidden="false" outlineLevel="0" max="1284" min="1284" style="1" width="7.42"/>
    <col collapsed="false" customWidth="true" hidden="false" outlineLevel="0" max="1285" min="1285" style="1" width="33.86"/>
    <col collapsed="false" customWidth="true" hidden="false" outlineLevel="0" max="1286" min="1286" style="1" width="8.15"/>
    <col collapsed="false" customWidth="true" hidden="false" outlineLevel="0" max="1287" min="1287" style="1" width="1.29"/>
    <col collapsed="false" customWidth="true" hidden="false" outlineLevel="0" max="1288" min="1288" style="1" width="1"/>
    <col collapsed="false" customWidth="true" hidden="false" outlineLevel="0" max="1289" min="1289" style="1" width="15.85"/>
    <col collapsed="false" customWidth="true" hidden="false" outlineLevel="0" max="1290" min="1290" style="1" width="0.86"/>
    <col collapsed="false" customWidth="true" hidden="false" outlineLevel="0" max="1291" min="1291" style="1" width="15.85"/>
    <col collapsed="false" customWidth="true" hidden="false" outlineLevel="0" max="1292" min="1292" style="1" width="13.57"/>
    <col collapsed="false" customWidth="true" hidden="false" outlineLevel="0" max="1293" min="1293" style="1" width="11"/>
    <col collapsed="false" customWidth="true" hidden="false" outlineLevel="0" max="1294" min="1294" style="1" width="12.86"/>
    <col collapsed="false" customWidth="false" hidden="false" outlineLevel="0" max="1536" min="1295" style="1" width="8.29"/>
    <col collapsed="false" customWidth="true" hidden="false" outlineLevel="0" max="1539" min="1537" style="1" width="1.42"/>
    <col collapsed="false" customWidth="true" hidden="false" outlineLevel="0" max="1540" min="1540" style="1" width="7.42"/>
    <col collapsed="false" customWidth="true" hidden="false" outlineLevel="0" max="1541" min="1541" style="1" width="33.86"/>
    <col collapsed="false" customWidth="true" hidden="false" outlineLevel="0" max="1542" min="1542" style="1" width="8.15"/>
    <col collapsed="false" customWidth="true" hidden="false" outlineLevel="0" max="1543" min="1543" style="1" width="1.29"/>
    <col collapsed="false" customWidth="true" hidden="false" outlineLevel="0" max="1544" min="1544" style="1" width="1"/>
    <col collapsed="false" customWidth="true" hidden="false" outlineLevel="0" max="1545" min="1545" style="1" width="15.85"/>
    <col collapsed="false" customWidth="true" hidden="false" outlineLevel="0" max="1546" min="1546" style="1" width="0.86"/>
    <col collapsed="false" customWidth="true" hidden="false" outlineLevel="0" max="1547" min="1547" style="1" width="15.85"/>
    <col collapsed="false" customWidth="true" hidden="false" outlineLevel="0" max="1548" min="1548" style="1" width="13.57"/>
    <col collapsed="false" customWidth="true" hidden="false" outlineLevel="0" max="1549" min="1549" style="1" width="11"/>
    <col collapsed="false" customWidth="true" hidden="false" outlineLevel="0" max="1550" min="1550" style="1" width="12.86"/>
    <col collapsed="false" customWidth="false" hidden="false" outlineLevel="0" max="1792" min="1551" style="1" width="8.29"/>
    <col collapsed="false" customWidth="true" hidden="false" outlineLevel="0" max="1795" min="1793" style="1" width="1.42"/>
    <col collapsed="false" customWidth="true" hidden="false" outlineLevel="0" max="1796" min="1796" style="1" width="7.42"/>
    <col collapsed="false" customWidth="true" hidden="false" outlineLevel="0" max="1797" min="1797" style="1" width="33.86"/>
    <col collapsed="false" customWidth="true" hidden="false" outlineLevel="0" max="1798" min="1798" style="1" width="8.15"/>
    <col collapsed="false" customWidth="true" hidden="false" outlineLevel="0" max="1799" min="1799" style="1" width="1.29"/>
    <col collapsed="false" customWidth="true" hidden="false" outlineLevel="0" max="1800" min="1800" style="1" width="1"/>
    <col collapsed="false" customWidth="true" hidden="false" outlineLevel="0" max="1801" min="1801" style="1" width="15.85"/>
    <col collapsed="false" customWidth="true" hidden="false" outlineLevel="0" max="1802" min="1802" style="1" width="0.86"/>
    <col collapsed="false" customWidth="true" hidden="false" outlineLevel="0" max="1803" min="1803" style="1" width="15.85"/>
    <col collapsed="false" customWidth="true" hidden="false" outlineLevel="0" max="1804" min="1804" style="1" width="13.57"/>
    <col collapsed="false" customWidth="true" hidden="false" outlineLevel="0" max="1805" min="1805" style="1" width="11"/>
    <col collapsed="false" customWidth="true" hidden="false" outlineLevel="0" max="1806" min="1806" style="1" width="12.86"/>
    <col collapsed="false" customWidth="false" hidden="false" outlineLevel="0" max="2048" min="1807" style="1" width="8.29"/>
    <col collapsed="false" customWidth="true" hidden="false" outlineLevel="0" max="2051" min="2049" style="1" width="1.42"/>
    <col collapsed="false" customWidth="true" hidden="false" outlineLevel="0" max="2052" min="2052" style="1" width="7.42"/>
    <col collapsed="false" customWidth="true" hidden="false" outlineLevel="0" max="2053" min="2053" style="1" width="33.86"/>
    <col collapsed="false" customWidth="true" hidden="false" outlineLevel="0" max="2054" min="2054" style="1" width="8.15"/>
    <col collapsed="false" customWidth="true" hidden="false" outlineLevel="0" max="2055" min="2055" style="1" width="1.29"/>
    <col collapsed="false" customWidth="true" hidden="false" outlineLevel="0" max="2056" min="2056" style="1" width="1"/>
    <col collapsed="false" customWidth="true" hidden="false" outlineLevel="0" max="2057" min="2057" style="1" width="15.85"/>
    <col collapsed="false" customWidth="true" hidden="false" outlineLevel="0" max="2058" min="2058" style="1" width="0.86"/>
    <col collapsed="false" customWidth="true" hidden="false" outlineLevel="0" max="2059" min="2059" style="1" width="15.85"/>
    <col collapsed="false" customWidth="true" hidden="false" outlineLevel="0" max="2060" min="2060" style="1" width="13.57"/>
    <col collapsed="false" customWidth="true" hidden="false" outlineLevel="0" max="2061" min="2061" style="1" width="11"/>
    <col collapsed="false" customWidth="true" hidden="false" outlineLevel="0" max="2062" min="2062" style="1" width="12.86"/>
    <col collapsed="false" customWidth="false" hidden="false" outlineLevel="0" max="2304" min="2063" style="1" width="8.29"/>
    <col collapsed="false" customWidth="true" hidden="false" outlineLevel="0" max="2307" min="2305" style="1" width="1.42"/>
    <col collapsed="false" customWidth="true" hidden="false" outlineLevel="0" max="2308" min="2308" style="1" width="7.42"/>
    <col collapsed="false" customWidth="true" hidden="false" outlineLevel="0" max="2309" min="2309" style="1" width="33.86"/>
    <col collapsed="false" customWidth="true" hidden="false" outlineLevel="0" max="2310" min="2310" style="1" width="8.15"/>
    <col collapsed="false" customWidth="true" hidden="false" outlineLevel="0" max="2311" min="2311" style="1" width="1.29"/>
    <col collapsed="false" customWidth="true" hidden="false" outlineLevel="0" max="2312" min="2312" style="1" width="1"/>
    <col collapsed="false" customWidth="true" hidden="false" outlineLevel="0" max="2313" min="2313" style="1" width="15.85"/>
    <col collapsed="false" customWidth="true" hidden="false" outlineLevel="0" max="2314" min="2314" style="1" width="0.86"/>
    <col collapsed="false" customWidth="true" hidden="false" outlineLevel="0" max="2315" min="2315" style="1" width="15.85"/>
    <col collapsed="false" customWidth="true" hidden="false" outlineLevel="0" max="2316" min="2316" style="1" width="13.57"/>
    <col collapsed="false" customWidth="true" hidden="false" outlineLevel="0" max="2317" min="2317" style="1" width="11"/>
    <col collapsed="false" customWidth="true" hidden="false" outlineLevel="0" max="2318" min="2318" style="1" width="12.86"/>
    <col collapsed="false" customWidth="false" hidden="false" outlineLevel="0" max="2560" min="2319" style="1" width="8.29"/>
    <col collapsed="false" customWidth="true" hidden="false" outlineLevel="0" max="2563" min="2561" style="1" width="1.42"/>
    <col collapsed="false" customWidth="true" hidden="false" outlineLevel="0" max="2564" min="2564" style="1" width="7.42"/>
    <col collapsed="false" customWidth="true" hidden="false" outlineLevel="0" max="2565" min="2565" style="1" width="33.86"/>
    <col collapsed="false" customWidth="true" hidden="false" outlineLevel="0" max="2566" min="2566" style="1" width="8.15"/>
    <col collapsed="false" customWidth="true" hidden="false" outlineLevel="0" max="2567" min="2567" style="1" width="1.29"/>
    <col collapsed="false" customWidth="true" hidden="false" outlineLevel="0" max="2568" min="2568" style="1" width="1"/>
    <col collapsed="false" customWidth="true" hidden="false" outlineLevel="0" max="2569" min="2569" style="1" width="15.85"/>
    <col collapsed="false" customWidth="true" hidden="false" outlineLevel="0" max="2570" min="2570" style="1" width="0.86"/>
    <col collapsed="false" customWidth="true" hidden="false" outlineLevel="0" max="2571" min="2571" style="1" width="15.85"/>
    <col collapsed="false" customWidth="true" hidden="false" outlineLevel="0" max="2572" min="2572" style="1" width="13.57"/>
    <col collapsed="false" customWidth="true" hidden="false" outlineLevel="0" max="2573" min="2573" style="1" width="11"/>
    <col collapsed="false" customWidth="true" hidden="false" outlineLevel="0" max="2574" min="2574" style="1" width="12.86"/>
    <col collapsed="false" customWidth="false" hidden="false" outlineLevel="0" max="2816" min="2575" style="1" width="8.29"/>
    <col collapsed="false" customWidth="true" hidden="false" outlineLevel="0" max="2819" min="2817" style="1" width="1.42"/>
    <col collapsed="false" customWidth="true" hidden="false" outlineLevel="0" max="2820" min="2820" style="1" width="7.42"/>
    <col collapsed="false" customWidth="true" hidden="false" outlineLevel="0" max="2821" min="2821" style="1" width="33.86"/>
    <col collapsed="false" customWidth="true" hidden="false" outlineLevel="0" max="2822" min="2822" style="1" width="8.15"/>
    <col collapsed="false" customWidth="true" hidden="false" outlineLevel="0" max="2823" min="2823" style="1" width="1.29"/>
    <col collapsed="false" customWidth="true" hidden="false" outlineLevel="0" max="2824" min="2824" style="1" width="1"/>
    <col collapsed="false" customWidth="true" hidden="false" outlineLevel="0" max="2825" min="2825" style="1" width="15.85"/>
    <col collapsed="false" customWidth="true" hidden="false" outlineLevel="0" max="2826" min="2826" style="1" width="0.86"/>
    <col collapsed="false" customWidth="true" hidden="false" outlineLevel="0" max="2827" min="2827" style="1" width="15.85"/>
    <col collapsed="false" customWidth="true" hidden="false" outlineLevel="0" max="2828" min="2828" style="1" width="13.57"/>
    <col collapsed="false" customWidth="true" hidden="false" outlineLevel="0" max="2829" min="2829" style="1" width="11"/>
    <col collapsed="false" customWidth="true" hidden="false" outlineLevel="0" max="2830" min="2830" style="1" width="12.86"/>
    <col collapsed="false" customWidth="false" hidden="false" outlineLevel="0" max="3072" min="2831" style="1" width="8.29"/>
    <col collapsed="false" customWidth="true" hidden="false" outlineLevel="0" max="3075" min="3073" style="1" width="1.42"/>
    <col collapsed="false" customWidth="true" hidden="false" outlineLevel="0" max="3076" min="3076" style="1" width="7.42"/>
    <col collapsed="false" customWidth="true" hidden="false" outlineLevel="0" max="3077" min="3077" style="1" width="33.86"/>
    <col collapsed="false" customWidth="true" hidden="false" outlineLevel="0" max="3078" min="3078" style="1" width="8.15"/>
    <col collapsed="false" customWidth="true" hidden="false" outlineLevel="0" max="3079" min="3079" style="1" width="1.29"/>
    <col collapsed="false" customWidth="true" hidden="false" outlineLevel="0" max="3080" min="3080" style="1" width="1"/>
    <col collapsed="false" customWidth="true" hidden="false" outlineLevel="0" max="3081" min="3081" style="1" width="15.85"/>
    <col collapsed="false" customWidth="true" hidden="false" outlineLevel="0" max="3082" min="3082" style="1" width="0.86"/>
    <col collapsed="false" customWidth="true" hidden="false" outlineLevel="0" max="3083" min="3083" style="1" width="15.85"/>
    <col collapsed="false" customWidth="true" hidden="false" outlineLevel="0" max="3084" min="3084" style="1" width="13.57"/>
    <col collapsed="false" customWidth="true" hidden="false" outlineLevel="0" max="3085" min="3085" style="1" width="11"/>
    <col collapsed="false" customWidth="true" hidden="false" outlineLevel="0" max="3086" min="3086" style="1" width="12.86"/>
    <col collapsed="false" customWidth="false" hidden="false" outlineLevel="0" max="3328" min="3087" style="1" width="8.29"/>
    <col collapsed="false" customWidth="true" hidden="false" outlineLevel="0" max="3331" min="3329" style="1" width="1.42"/>
    <col collapsed="false" customWidth="true" hidden="false" outlineLevel="0" max="3332" min="3332" style="1" width="7.42"/>
    <col collapsed="false" customWidth="true" hidden="false" outlineLevel="0" max="3333" min="3333" style="1" width="33.86"/>
    <col collapsed="false" customWidth="true" hidden="false" outlineLevel="0" max="3334" min="3334" style="1" width="8.15"/>
    <col collapsed="false" customWidth="true" hidden="false" outlineLevel="0" max="3335" min="3335" style="1" width="1.29"/>
    <col collapsed="false" customWidth="true" hidden="false" outlineLevel="0" max="3336" min="3336" style="1" width="1"/>
    <col collapsed="false" customWidth="true" hidden="false" outlineLevel="0" max="3337" min="3337" style="1" width="15.85"/>
    <col collapsed="false" customWidth="true" hidden="false" outlineLevel="0" max="3338" min="3338" style="1" width="0.86"/>
    <col collapsed="false" customWidth="true" hidden="false" outlineLevel="0" max="3339" min="3339" style="1" width="15.85"/>
    <col collapsed="false" customWidth="true" hidden="false" outlineLevel="0" max="3340" min="3340" style="1" width="13.57"/>
    <col collapsed="false" customWidth="true" hidden="false" outlineLevel="0" max="3341" min="3341" style="1" width="11"/>
    <col collapsed="false" customWidth="true" hidden="false" outlineLevel="0" max="3342" min="3342" style="1" width="12.86"/>
    <col collapsed="false" customWidth="false" hidden="false" outlineLevel="0" max="3584" min="3343" style="1" width="8.29"/>
    <col collapsed="false" customWidth="true" hidden="false" outlineLevel="0" max="3587" min="3585" style="1" width="1.42"/>
    <col collapsed="false" customWidth="true" hidden="false" outlineLevel="0" max="3588" min="3588" style="1" width="7.42"/>
    <col collapsed="false" customWidth="true" hidden="false" outlineLevel="0" max="3589" min="3589" style="1" width="33.86"/>
    <col collapsed="false" customWidth="true" hidden="false" outlineLevel="0" max="3590" min="3590" style="1" width="8.15"/>
    <col collapsed="false" customWidth="true" hidden="false" outlineLevel="0" max="3591" min="3591" style="1" width="1.29"/>
    <col collapsed="false" customWidth="true" hidden="false" outlineLevel="0" max="3592" min="3592" style="1" width="1"/>
    <col collapsed="false" customWidth="true" hidden="false" outlineLevel="0" max="3593" min="3593" style="1" width="15.85"/>
    <col collapsed="false" customWidth="true" hidden="false" outlineLevel="0" max="3594" min="3594" style="1" width="0.86"/>
    <col collapsed="false" customWidth="true" hidden="false" outlineLevel="0" max="3595" min="3595" style="1" width="15.85"/>
    <col collapsed="false" customWidth="true" hidden="false" outlineLevel="0" max="3596" min="3596" style="1" width="13.57"/>
    <col collapsed="false" customWidth="true" hidden="false" outlineLevel="0" max="3597" min="3597" style="1" width="11"/>
    <col collapsed="false" customWidth="true" hidden="false" outlineLevel="0" max="3598" min="3598" style="1" width="12.86"/>
    <col collapsed="false" customWidth="false" hidden="false" outlineLevel="0" max="3840" min="3599" style="1" width="8.29"/>
    <col collapsed="false" customWidth="true" hidden="false" outlineLevel="0" max="3843" min="3841" style="1" width="1.42"/>
    <col collapsed="false" customWidth="true" hidden="false" outlineLevel="0" max="3844" min="3844" style="1" width="7.42"/>
    <col collapsed="false" customWidth="true" hidden="false" outlineLevel="0" max="3845" min="3845" style="1" width="33.86"/>
    <col collapsed="false" customWidth="true" hidden="false" outlineLevel="0" max="3846" min="3846" style="1" width="8.15"/>
    <col collapsed="false" customWidth="true" hidden="false" outlineLevel="0" max="3847" min="3847" style="1" width="1.29"/>
    <col collapsed="false" customWidth="true" hidden="false" outlineLevel="0" max="3848" min="3848" style="1" width="1"/>
    <col collapsed="false" customWidth="true" hidden="false" outlineLevel="0" max="3849" min="3849" style="1" width="15.85"/>
    <col collapsed="false" customWidth="true" hidden="false" outlineLevel="0" max="3850" min="3850" style="1" width="0.86"/>
    <col collapsed="false" customWidth="true" hidden="false" outlineLevel="0" max="3851" min="3851" style="1" width="15.85"/>
    <col collapsed="false" customWidth="true" hidden="false" outlineLevel="0" max="3852" min="3852" style="1" width="13.57"/>
    <col collapsed="false" customWidth="true" hidden="false" outlineLevel="0" max="3853" min="3853" style="1" width="11"/>
    <col collapsed="false" customWidth="true" hidden="false" outlineLevel="0" max="3854" min="3854" style="1" width="12.86"/>
    <col collapsed="false" customWidth="false" hidden="false" outlineLevel="0" max="4096" min="3855" style="1" width="8.29"/>
    <col collapsed="false" customWidth="true" hidden="false" outlineLevel="0" max="4099" min="4097" style="1" width="1.42"/>
    <col collapsed="false" customWidth="true" hidden="false" outlineLevel="0" max="4100" min="4100" style="1" width="7.42"/>
    <col collapsed="false" customWidth="true" hidden="false" outlineLevel="0" max="4101" min="4101" style="1" width="33.86"/>
    <col collapsed="false" customWidth="true" hidden="false" outlineLevel="0" max="4102" min="4102" style="1" width="8.15"/>
    <col collapsed="false" customWidth="true" hidden="false" outlineLevel="0" max="4103" min="4103" style="1" width="1.29"/>
    <col collapsed="false" customWidth="true" hidden="false" outlineLevel="0" max="4104" min="4104" style="1" width="1"/>
    <col collapsed="false" customWidth="true" hidden="false" outlineLevel="0" max="4105" min="4105" style="1" width="15.85"/>
    <col collapsed="false" customWidth="true" hidden="false" outlineLevel="0" max="4106" min="4106" style="1" width="0.86"/>
    <col collapsed="false" customWidth="true" hidden="false" outlineLevel="0" max="4107" min="4107" style="1" width="15.85"/>
    <col collapsed="false" customWidth="true" hidden="false" outlineLevel="0" max="4108" min="4108" style="1" width="13.57"/>
    <col collapsed="false" customWidth="true" hidden="false" outlineLevel="0" max="4109" min="4109" style="1" width="11"/>
    <col collapsed="false" customWidth="true" hidden="false" outlineLevel="0" max="4110" min="4110" style="1" width="12.86"/>
    <col collapsed="false" customWidth="false" hidden="false" outlineLevel="0" max="4352" min="4111" style="1" width="8.29"/>
    <col collapsed="false" customWidth="true" hidden="false" outlineLevel="0" max="4355" min="4353" style="1" width="1.42"/>
    <col collapsed="false" customWidth="true" hidden="false" outlineLevel="0" max="4356" min="4356" style="1" width="7.42"/>
    <col collapsed="false" customWidth="true" hidden="false" outlineLevel="0" max="4357" min="4357" style="1" width="33.86"/>
    <col collapsed="false" customWidth="true" hidden="false" outlineLevel="0" max="4358" min="4358" style="1" width="8.15"/>
    <col collapsed="false" customWidth="true" hidden="false" outlineLevel="0" max="4359" min="4359" style="1" width="1.29"/>
    <col collapsed="false" customWidth="true" hidden="false" outlineLevel="0" max="4360" min="4360" style="1" width="1"/>
    <col collapsed="false" customWidth="true" hidden="false" outlineLevel="0" max="4361" min="4361" style="1" width="15.85"/>
    <col collapsed="false" customWidth="true" hidden="false" outlineLevel="0" max="4362" min="4362" style="1" width="0.86"/>
    <col collapsed="false" customWidth="true" hidden="false" outlineLevel="0" max="4363" min="4363" style="1" width="15.85"/>
    <col collapsed="false" customWidth="true" hidden="false" outlineLevel="0" max="4364" min="4364" style="1" width="13.57"/>
    <col collapsed="false" customWidth="true" hidden="false" outlineLevel="0" max="4365" min="4365" style="1" width="11"/>
    <col collapsed="false" customWidth="true" hidden="false" outlineLevel="0" max="4366" min="4366" style="1" width="12.86"/>
    <col collapsed="false" customWidth="false" hidden="false" outlineLevel="0" max="4608" min="4367" style="1" width="8.29"/>
    <col collapsed="false" customWidth="true" hidden="false" outlineLevel="0" max="4611" min="4609" style="1" width="1.42"/>
    <col collapsed="false" customWidth="true" hidden="false" outlineLevel="0" max="4612" min="4612" style="1" width="7.42"/>
    <col collapsed="false" customWidth="true" hidden="false" outlineLevel="0" max="4613" min="4613" style="1" width="33.86"/>
    <col collapsed="false" customWidth="true" hidden="false" outlineLevel="0" max="4614" min="4614" style="1" width="8.15"/>
    <col collapsed="false" customWidth="true" hidden="false" outlineLevel="0" max="4615" min="4615" style="1" width="1.29"/>
    <col collapsed="false" customWidth="true" hidden="false" outlineLevel="0" max="4616" min="4616" style="1" width="1"/>
    <col collapsed="false" customWidth="true" hidden="false" outlineLevel="0" max="4617" min="4617" style="1" width="15.85"/>
    <col collapsed="false" customWidth="true" hidden="false" outlineLevel="0" max="4618" min="4618" style="1" width="0.86"/>
    <col collapsed="false" customWidth="true" hidden="false" outlineLevel="0" max="4619" min="4619" style="1" width="15.85"/>
    <col collapsed="false" customWidth="true" hidden="false" outlineLevel="0" max="4620" min="4620" style="1" width="13.57"/>
    <col collapsed="false" customWidth="true" hidden="false" outlineLevel="0" max="4621" min="4621" style="1" width="11"/>
    <col collapsed="false" customWidth="true" hidden="false" outlineLevel="0" max="4622" min="4622" style="1" width="12.86"/>
    <col collapsed="false" customWidth="false" hidden="false" outlineLevel="0" max="4864" min="4623" style="1" width="8.29"/>
    <col collapsed="false" customWidth="true" hidden="false" outlineLevel="0" max="4867" min="4865" style="1" width="1.42"/>
    <col collapsed="false" customWidth="true" hidden="false" outlineLevel="0" max="4868" min="4868" style="1" width="7.42"/>
    <col collapsed="false" customWidth="true" hidden="false" outlineLevel="0" max="4869" min="4869" style="1" width="33.86"/>
    <col collapsed="false" customWidth="true" hidden="false" outlineLevel="0" max="4870" min="4870" style="1" width="8.15"/>
    <col collapsed="false" customWidth="true" hidden="false" outlineLevel="0" max="4871" min="4871" style="1" width="1.29"/>
    <col collapsed="false" customWidth="true" hidden="false" outlineLevel="0" max="4872" min="4872" style="1" width="1"/>
    <col collapsed="false" customWidth="true" hidden="false" outlineLevel="0" max="4873" min="4873" style="1" width="15.85"/>
    <col collapsed="false" customWidth="true" hidden="false" outlineLevel="0" max="4874" min="4874" style="1" width="0.86"/>
    <col collapsed="false" customWidth="true" hidden="false" outlineLevel="0" max="4875" min="4875" style="1" width="15.85"/>
    <col collapsed="false" customWidth="true" hidden="false" outlineLevel="0" max="4876" min="4876" style="1" width="13.57"/>
    <col collapsed="false" customWidth="true" hidden="false" outlineLevel="0" max="4877" min="4877" style="1" width="11"/>
    <col collapsed="false" customWidth="true" hidden="false" outlineLevel="0" max="4878" min="4878" style="1" width="12.86"/>
    <col collapsed="false" customWidth="false" hidden="false" outlineLevel="0" max="5120" min="4879" style="1" width="8.29"/>
    <col collapsed="false" customWidth="true" hidden="false" outlineLevel="0" max="5123" min="5121" style="1" width="1.42"/>
    <col collapsed="false" customWidth="true" hidden="false" outlineLevel="0" max="5124" min="5124" style="1" width="7.42"/>
    <col collapsed="false" customWidth="true" hidden="false" outlineLevel="0" max="5125" min="5125" style="1" width="33.86"/>
    <col collapsed="false" customWidth="true" hidden="false" outlineLevel="0" max="5126" min="5126" style="1" width="8.15"/>
    <col collapsed="false" customWidth="true" hidden="false" outlineLevel="0" max="5127" min="5127" style="1" width="1.29"/>
    <col collapsed="false" customWidth="true" hidden="false" outlineLevel="0" max="5128" min="5128" style="1" width="1"/>
    <col collapsed="false" customWidth="true" hidden="false" outlineLevel="0" max="5129" min="5129" style="1" width="15.85"/>
    <col collapsed="false" customWidth="true" hidden="false" outlineLevel="0" max="5130" min="5130" style="1" width="0.86"/>
    <col collapsed="false" customWidth="true" hidden="false" outlineLevel="0" max="5131" min="5131" style="1" width="15.85"/>
    <col collapsed="false" customWidth="true" hidden="false" outlineLevel="0" max="5132" min="5132" style="1" width="13.57"/>
    <col collapsed="false" customWidth="true" hidden="false" outlineLevel="0" max="5133" min="5133" style="1" width="11"/>
    <col collapsed="false" customWidth="true" hidden="false" outlineLevel="0" max="5134" min="5134" style="1" width="12.86"/>
    <col collapsed="false" customWidth="false" hidden="false" outlineLevel="0" max="5376" min="5135" style="1" width="8.29"/>
    <col collapsed="false" customWidth="true" hidden="false" outlineLevel="0" max="5379" min="5377" style="1" width="1.42"/>
    <col collapsed="false" customWidth="true" hidden="false" outlineLevel="0" max="5380" min="5380" style="1" width="7.42"/>
    <col collapsed="false" customWidth="true" hidden="false" outlineLevel="0" max="5381" min="5381" style="1" width="33.86"/>
    <col collapsed="false" customWidth="true" hidden="false" outlineLevel="0" max="5382" min="5382" style="1" width="8.15"/>
    <col collapsed="false" customWidth="true" hidden="false" outlineLevel="0" max="5383" min="5383" style="1" width="1.29"/>
    <col collapsed="false" customWidth="true" hidden="false" outlineLevel="0" max="5384" min="5384" style="1" width="1"/>
    <col collapsed="false" customWidth="true" hidden="false" outlineLevel="0" max="5385" min="5385" style="1" width="15.85"/>
    <col collapsed="false" customWidth="true" hidden="false" outlineLevel="0" max="5386" min="5386" style="1" width="0.86"/>
    <col collapsed="false" customWidth="true" hidden="false" outlineLevel="0" max="5387" min="5387" style="1" width="15.85"/>
    <col collapsed="false" customWidth="true" hidden="false" outlineLevel="0" max="5388" min="5388" style="1" width="13.57"/>
    <col collapsed="false" customWidth="true" hidden="false" outlineLevel="0" max="5389" min="5389" style="1" width="11"/>
    <col collapsed="false" customWidth="true" hidden="false" outlineLevel="0" max="5390" min="5390" style="1" width="12.86"/>
    <col collapsed="false" customWidth="false" hidden="false" outlineLevel="0" max="5632" min="5391" style="1" width="8.29"/>
    <col collapsed="false" customWidth="true" hidden="false" outlineLevel="0" max="5635" min="5633" style="1" width="1.42"/>
    <col collapsed="false" customWidth="true" hidden="false" outlineLevel="0" max="5636" min="5636" style="1" width="7.42"/>
    <col collapsed="false" customWidth="true" hidden="false" outlineLevel="0" max="5637" min="5637" style="1" width="33.86"/>
    <col collapsed="false" customWidth="true" hidden="false" outlineLevel="0" max="5638" min="5638" style="1" width="8.15"/>
    <col collapsed="false" customWidth="true" hidden="false" outlineLevel="0" max="5639" min="5639" style="1" width="1.29"/>
    <col collapsed="false" customWidth="true" hidden="false" outlineLevel="0" max="5640" min="5640" style="1" width="1"/>
    <col collapsed="false" customWidth="true" hidden="false" outlineLevel="0" max="5641" min="5641" style="1" width="15.85"/>
    <col collapsed="false" customWidth="true" hidden="false" outlineLevel="0" max="5642" min="5642" style="1" width="0.86"/>
    <col collapsed="false" customWidth="true" hidden="false" outlineLevel="0" max="5643" min="5643" style="1" width="15.85"/>
    <col collapsed="false" customWidth="true" hidden="false" outlineLevel="0" max="5644" min="5644" style="1" width="13.57"/>
    <col collapsed="false" customWidth="true" hidden="false" outlineLevel="0" max="5645" min="5645" style="1" width="11"/>
    <col collapsed="false" customWidth="true" hidden="false" outlineLevel="0" max="5646" min="5646" style="1" width="12.86"/>
    <col collapsed="false" customWidth="false" hidden="false" outlineLevel="0" max="5888" min="5647" style="1" width="8.29"/>
    <col collapsed="false" customWidth="true" hidden="false" outlineLevel="0" max="5891" min="5889" style="1" width="1.42"/>
    <col collapsed="false" customWidth="true" hidden="false" outlineLevel="0" max="5892" min="5892" style="1" width="7.42"/>
    <col collapsed="false" customWidth="true" hidden="false" outlineLevel="0" max="5893" min="5893" style="1" width="33.86"/>
    <col collapsed="false" customWidth="true" hidden="false" outlineLevel="0" max="5894" min="5894" style="1" width="8.15"/>
    <col collapsed="false" customWidth="true" hidden="false" outlineLevel="0" max="5895" min="5895" style="1" width="1.29"/>
    <col collapsed="false" customWidth="true" hidden="false" outlineLevel="0" max="5896" min="5896" style="1" width="1"/>
    <col collapsed="false" customWidth="true" hidden="false" outlineLevel="0" max="5897" min="5897" style="1" width="15.85"/>
    <col collapsed="false" customWidth="true" hidden="false" outlineLevel="0" max="5898" min="5898" style="1" width="0.86"/>
    <col collapsed="false" customWidth="true" hidden="false" outlineLevel="0" max="5899" min="5899" style="1" width="15.85"/>
    <col collapsed="false" customWidth="true" hidden="false" outlineLevel="0" max="5900" min="5900" style="1" width="13.57"/>
    <col collapsed="false" customWidth="true" hidden="false" outlineLevel="0" max="5901" min="5901" style="1" width="11"/>
    <col collapsed="false" customWidth="true" hidden="false" outlineLevel="0" max="5902" min="5902" style="1" width="12.86"/>
    <col collapsed="false" customWidth="false" hidden="false" outlineLevel="0" max="6144" min="5903" style="1" width="8.29"/>
    <col collapsed="false" customWidth="true" hidden="false" outlineLevel="0" max="6147" min="6145" style="1" width="1.42"/>
    <col collapsed="false" customWidth="true" hidden="false" outlineLevel="0" max="6148" min="6148" style="1" width="7.42"/>
    <col collapsed="false" customWidth="true" hidden="false" outlineLevel="0" max="6149" min="6149" style="1" width="33.86"/>
    <col collapsed="false" customWidth="true" hidden="false" outlineLevel="0" max="6150" min="6150" style="1" width="8.15"/>
    <col collapsed="false" customWidth="true" hidden="false" outlineLevel="0" max="6151" min="6151" style="1" width="1.29"/>
    <col collapsed="false" customWidth="true" hidden="false" outlineLevel="0" max="6152" min="6152" style="1" width="1"/>
    <col collapsed="false" customWidth="true" hidden="false" outlineLevel="0" max="6153" min="6153" style="1" width="15.85"/>
    <col collapsed="false" customWidth="true" hidden="false" outlineLevel="0" max="6154" min="6154" style="1" width="0.86"/>
    <col collapsed="false" customWidth="true" hidden="false" outlineLevel="0" max="6155" min="6155" style="1" width="15.85"/>
    <col collapsed="false" customWidth="true" hidden="false" outlineLevel="0" max="6156" min="6156" style="1" width="13.57"/>
    <col collapsed="false" customWidth="true" hidden="false" outlineLevel="0" max="6157" min="6157" style="1" width="11"/>
    <col collapsed="false" customWidth="true" hidden="false" outlineLevel="0" max="6158" min="6158" style="1" width="12.86"/>
    <col collapsed="false" customWidth="false" hidden="false" outlineLevel="0" max="6400" min="6159" style="1" width="8.29"/>
    <col collapsed="false" customWidth="true" hidden="false" outlineLevel="0" max="6403" min="6401" style="1" width="1.42"/>
    <col collapsed="false" customWidth="true" hidden="false" outlineLevel="0" max="6404" min="6404" style="1" width="7.42"/>
    <col collapsed="false" customWidth="true" hidden="false" outlineLevel="0" max="6405" min="6405" style="1" width="33.86"/>
    <col collapsed="false" customWidth="true" hidden="false" outlineLevel="0" max="6406" min="6406" style="1" width="8.15"/>
    <col collapsed="false" customWidth="true" hidden="false" outlineLevel="0" max="6407" min="6407" style="1" width="1.29"/>
    <col collapsed="false" customWidth="true" hidden="false" outlineLevel="0" max="6408" min="6408" style="1" width="1"/>
    <col collapsed="false" customWidth="true" hidden="false" outlineLevel="0" max="6409" min="6409" style="1" width="15.85"/>
    <col collapsed="false" customWidth="true" hidden="false" outlineLevel="0" max="6410" min="6410" style="1" width="0.86"/>
    <col collapsed="false" customWidth="true" hidden="false" outlineLevel="0" max="6411" min="6411" style="1" width="15.85"/>
    <col collapsed="false" customWidth="true" hidden="false" outlineLevel="0" max="6412" min="6412" style="1" width="13.57"/>
    <col collapsed="false" customWidth="true" hidden="false" outlineLevel="0" max="6413" min="6413" style="1" width="11"/>
    <col collapsed="false" customWidth="true" hidden="false" outlineLevel="0" max="6414" min="6414" style="1" width="12.86"/>
    <col collapsed="false" customWidth="false" hidden="false" outlineLevel="0" max="6656" min="6415" style="1" width="8.29"/>
    <col collapsed="false" customWidth="true" hidden="false" outlineLevel="0" max="6659" min="6657" style="1" width="1.42"/>
    <col collapsed="false" customWidth="true" hidden="false" outlineLevel="0" max="6660" min="6660" style="1" width="7.42"/>
    <col collapsed="false" customWidth="true" hidden="false" outlineLevel="0" max="6661" min="6661" style="1" width="33.86"/>
    <col collapsed="false" customWidth="true" hidden="false" outlineLevel="0" max="6662" min="6662" style="1" width="8.15"/>
    <col collapsed="false" customWidth="true" hidden="false" outlineLevel="0" max="6663" min="6663" style="1" width="1.29"/>
    <col collapsed="false" customWidth="true" hidden="false" outlineLevel="0" max="6664" min="6664" style="1" width="1"/>
    <col collapsed="false" customWidth="true" hidden="false" outlineLevel="0" max="6665" min="6665" style="1" width="15.85"/>
    <col collapsed="false" customWidth="true" hidden="false" outlineLevel="0" max="6666" min="6666" style="1" width="0.86"/>
    <col collapsed="false" customWidth="true" hidden="false" outlineLevel="0" max="6667" min="6667" style="1" width="15.85"/>
    <col collapsed="false" customWidth="true" hidden="false" outlineLevel="0" max="6668" min="6668" style="1" width="13.57"/>
    <col collapsed="false" customWidth="true" hidden="false" outlineLevel="0" max="6669" min="6669" style="1" width="11"/>
    <col collapsed="false" customWidth="true" hidden="false" outlineLevel="0" max="6670" min="6670" style="1" width="12.86"/>
    <col collapsed="false" customWidth="false" hidden="false" outlineLevel="0" max="6912" min="6671" style="1" width="8.29"/>
    <col collapsed="false" customWidth="true" hidden="false" outlineLevel="0" max="6915" min="6913" style="1" width="1.42"/>
    <col collapsed="false" customWidth="true" hidden="false" outlineLevel="0" max="6916" min="6916" style="1" width="7.42"/>
    <col collapsed="false" customWidth="true" hidden="false" outlineLevel="0" max="6917" min="6917" style="1" width="33.86"/>
    <col collapsed="false" customWidth="true" hidden="false" outlineLevel="0" max="6918" min="6918" style="1" width="8.15"/>
    <col collapsed="false" customWidth="true" hidden="false" outlineLevel="0" max="6919" min="6919" style="1" width="1.29"/>
    <col collapsed="false" customWidth="true" hidden="false" outlineLevel="0" max="6920" min="6920" style="1" width="1"/>
    <col collapsed="false" customWidth="true" hidden="false" outlineLevel="0" max="6921" min="6921" style="1" width="15.85"/>
    <col collapsed="false" customWidth="true" hidden="false" outlineLevel="0" max="6922" min="6922" style="1" width="0.86"/>
    <col collapsed="false" customWidth="true" hidden="false" outlineLevel="0" max="6923" min="6923" style="1" width="15.85"/>
    <col collapsed="false" customWidth="true" hidden="false" outlineLevel="0" max="6924" min="6924" style="1" width="13.57"/>
    <col collapsed="false" customWidth="true" hidden="false" outlineLevel="0" max="6925" min="6925" style="1" width="11"/>
    <col collapsed="false" customWidth="true" hidden="false" outlineLevel="0" max="6926" min="6926" style="1" width="12.86"/>
    <col collapsed="false" customWidth="false" hidden="false" outlineLevel="0" max="7168" min="6927" style="1" width="8.29"/>
    <col collapsed="false" customWidth="true" hidden="false" outlineLevel="0" max="7171" min="7169" style="1" width="1.42"/>
    <col collapsed="false" customWidth="true" hidden="false" outlineLevel="0" max="7172" min="7172" style="1" width="7.42"/>
    <col collapsed="false" customWidth="true" hidden="false" outlineLevel="0" max="7173" min="7173" style="1" width="33.86"/>
    <col collapsed="false" customWidth="true" hidden="false" outlineLevel="0" max="7174" min="7174" style="1" width="8.15"/>
    <col collapsed="false" customWidth="true" hidden="false" outlineLevel="0" max="7175" min="7175" style="1" width="1.29"/>
    <col collapsed="false" customWidth="true" hidden="false" outlineLevel="0" max="7176" min="7176" style="1" width="1"/>
    <col collapsed="false" customWidth="true" hidden="false" outlineLevel="0" max="7177" min="7177" style="1" width="15.85"/>
    <col collapsed="false" customWidth="true" hidden="false" outlineLevel="0" max="7178" min="7178" style="1" width="0.86"/>
    <col collapsed="false" customWidth="true" hidden="false" outlineLevel="0" max="7179" min="7179" style="1" width="15.85"/>
    <col collapsed="false" customWidth="true" hidden="false" outlineLevel="0" max="7180" min="7180" style="1" width="13.57"/>
    <col collapsed="false" customWidth="true" hidden="false" outlineLevel="0" max="7181" min="7181" style="1" width="11"/>
    <col collapsed="false" customWidth="true" hidden="false" outlineLevel="0" max="7182" min="7182" style="1" width="12.86"/>
    <col collapsed="false" customWidth="false" hidden="false" outlineLevel="0" max="7424" min="7183" style="1" width="8.29"/>
    <col collapsed="false" customWidth="true" hidden="false" outlineLevel="0" max="7427" min="7425" style="1" width="1.42"/>
    <col collapsed="false" customWidth="true" hidden="false" outlineLevel="0" max="7428" min="7428" style="1" width="7.42"/>
    <col collapsed="false" customWidth="true" hidden="false" outlineLevel="0" max="7429" min="7429" style="1" width="33.86"/>
    <col collapsed="false" customWidth="true" hidden="false" outlineLevel="0" max="7430" min="7430" style="1" width="8.15"/>
    <col collapsed="false" customWidth="true" hidden="false" outlineLevel="0" max="7431" min="7431" style="1" width="1.29"/>
    <col collapsed="false" customWidth="true" hidden="false" outlineLevel="0" max="7432" min="7432" style="1" width="1"/>
    <col collapsed="false" customWidth="true" hidden="false" outlineLevel="0" max="7433" min="7433" style="1" width="15.85"/>
    <col collapsed="false" customWidth="true" hidden="false" outlineLevel="0" max="7434" min="7434" style="1" width="0.86"/>
    <col collapsed="false" customWidth="true" hidden="false" outlineLevel="0" max="7435" min="7435" style="1" width="15.85"/>
    <col collapsed="false" customWidth="true" hidden="false" outlineLevel="0" max="7436" min="7436" style="1" width="13.57"/>
    <col collapsed="false" customWidth="true" hidden="false" outlineLevel="0" max="7437" min="7437" style="1" width="11"/>
    <col collapsed="false" customWidth="true" hidden="false" outlineLevel="0" max="7438" min="7438" style="1" width="12.86"/>
    <col collapsed="false" customWidth="false" hidden="false" outlineLevel="0" max="7680" min="7439" style="1" width="8.29"/>
    <col collapsed="false" customWidth="true" hidden="false" outlineLevel="0" max="7683" min="7681" style="1" width="1.42"/>
    <col collapsed="false" customWidth="true" hidden="false" outlineLevel="0" max="7684" min="7684" style="1" width="7.42"/>
    <col collapsed="false" customWidth="true" hidden="false" outlineLevel="0" max="7685" min="7685" style="1" width="33.86"/>
    <col collapsed="false" customWidth="true" hidden="false" outlineLevel="0" max="7686" min="7686" style="1" width="8.15"/>
    <col collapsed="false" customWidth="true" hidden="false" outlineLevel="0" max="7687" min="7687" style="1" width="1.29"/>
    <col collapsed="false" customWidth="true" hidden="false" outlineLevel="0" max="7688" min="7688" style="1" width="1"/>
    <col collapsed="false" customWidth="true" hidden="false" outlineLevel="0" max="7689" min="7689" style="1" width="15.85"/>
    <col collapsed="false" customWidth="true" hidden="false" outlineLevel="0" max="7690" min="7690" style="1" width="0.86"/>
    <col collapsed="false" customWidth="true" hidden="false" outlineLevel="0" max="7691" min="7691" style="1" width="15.85"/>
    <col collapsed="false" customWidth="true" hidden="false" outlineLevel="0" max="7692" min="7692" style="1" width="13.57"/>
    <col collapsed="false" customWidth="true" hidden="false" outlineLevel="0" max="7693" min="7693" style="1" width="11"/>
    <col collapsed="false" customWidth="true" hidden="false" outlineLevel="0" max="7694" min="7694" style="1" width="12.86"/>
    <col collapsed="false" customWidth="false" hidden="false" outlineLevel="0" max="7936" min="7695" style="1" width="8.29"/>
    <col collapsed="false" customWidth="true" hidden="false" outlineLevel="0" max="7939" min="7937" style="1" width="1.42"/>
    <col collapsed="false" customWidth="true" hidden="false" outlineLevel="0" max="7940" min="7940" style="1" width="7.42"/>
    <col collapsed="false" customWidth="true" hidden="false" outlineLevel="0" max="7941" min="7941" style="1" width="33.86"/>
    <col collapsed="false" customWidth="true" hidden="false" outlineLevel="0" max="7942" min="7942" style="1" width="8.15"/>
    <col collapsed="false" customWidth="true" hidden="false" outlineLevel="0" max="7943" min="7943" style="1" width="1.29"/>
    <col collapsed="false" customWidth="true" hidden="false" outlineLevel="0" max="7944" min="7944" style="1" width="1"/>
    <col collapsed="false" customWidth="true" hidden="false" outlineLevel="0" max="7945" min="7945" style="1" width="15.85"/>
    <col collapsed="false" customWidth="true" hidden="false" outlineLevel="0" max="7946" min="7946" style="1" width="0.86"/>
    <col collapsed="false" customWidth="true" hidden="false" outlineLevel="0" max="7947" min="7947" style="1" width="15.85"/>
    <col collapsed="false" customWidth="true" hidden="false" outlineLevel="0" max="7948" min="7948" style="1" width="13.57"/>
    <col collapsed="false" customWidth="true" hidden="false" outlineLevel="0" max="7949" min="7949" style="1" width="11"/>
    <col collapsed="false" customWidth="true" hidden="false" outlineLevel="0" max="7950" min="7950" style="1" width="12.86"/>
    <col collapsed="false" customWidth="false" hidden="false" outlineLevel="0" max="8192" min="7951" style="1" width="8.29"/>
    <col collapsed="false" customWidth="true" hidden="false" outlineLevel="0" max="8195" min="8193" style="1" width="1.42"/>
    <col collapsed="false" customWidth="true" hidden="false" outlineLevel="0" max="8196" min="8196" style="1" width="7.42"/>
    <col collapsed="false" customWidth="true" hidden="false" outlineLevel="0" max="8197" min="8197" style="1" width="33.86"/>
    <col collapsed="false" customWidth="true" hidden="false" outlineLevel="0" max="8198" min="8198" style="1" width="8.15"/>
    <col collapsed="false" customWidth="true" hidden="false" outlineLevel="0" max="8199" min="8199" style="1" width="1.29"/>
    <col collapsed="false" customWidth="true" hidden="false" outlineLevel="0" max="8200" min="8200" style="1" width="1"/>
    <col collapsed="false" customWidth="true" hidden="false" outlineLevel="0" max="8201" min="8201" style="1" width="15.85"/>
    <col collapsed="false" customWidth="true" hidden="false" outlineLevel="0" max="8202" min="8202" style="1" width="0.86"/>
    <col collapsed="false" customWidth="true" hidden="false" outlineLevel="0" max="8203" min="8203" style="1" width="15.85"/>
    <col collapsed="false" customWidth="true" hidden="false" outlineLevel="0" max="8204" min="8204" style="1" width="13.57"/>
    <col collapsed="false" customWidth="true" hidden="false" outlineLevel="0" max="8205" min="8205" style="1" width="11"/>
    <col collapsed="false" customWidth="true" hidden="false" outlineLevel="0" max="8206" min="8206" style="1" width="12.86"/>
    <col collapsed="false" customWidth="false" hidden="false" outlineLevel="0" max="8448" min="8207" style="1" width="8.29"/>
    <col collapsed="false" customWidth="true" hidden="false" outlineLevel="0" max="8451" min="8449" style="1" width="1.42"/>
    <col collapsed="false" customWidth="true" hidden="false" outlineLevel="0" max="8452" min="8452" style="1" width="7.42"/>
    <col collapsed="false" customWidth="true" hidden="false" outlineLevel="0" max="8453" min="8453" style="1" width="33.86"/>
    <col collapsed="false" customWidth="true" hidden="false" outlineLevel="0" max="8454" min="8454" style="1" width="8.15"/>
    <col collapsed="false" customWidth="true" hidden="false" outlineLevel="0" max="8455" min="8455" style="1" width="1.29"/>
    <col collapsed="false" customWidth="true" hidden="false" outlineLevel="0" max="8456" min="8456" style="1" width="1"/>
    <col collapsed="false" customWidth="true" hidden="false" outlineLevel="0" max="8457" min="8457" style="1" width="15.85"/>
    <col collapsed="false" customWidth="true" hidden="false" outlineLevel="0" max="8458" min="8458" style="1" width="0.86"/>
    <col collapsed="false" customWidth="true" hidden="false" outlineLevel="0" max="8459" min="8459" style="1" width="15.85"/>
    <col collapsed="false" customWidth="true" hidden="false" outlineLevel="0" max="8460" min="8460" style="1" width="13.57"/>
    <col collapsed="false" customWidth="true" hidden="false" outlineLevel="0" max="8461" min="8461" style="1" width="11"/>
    <col collapsed="false" customWidth="true" hidden="false" outlineLevel="0" max="8462" min="8462" style="1" width="12.86"/>
    <col collapsed="false" customWidth="false" hidden="false" outlineLevel="0" max="8704" min="8463" style="1" width="8.29"/>
    <col collapsed="false" customWidth="true" hidden="false" outlineLevel="0" max="8707" min="8705" style="1" width="1.42"/>
    <col collapsed="false" customWidth="true" hidden="false" outlineLevel="0" max="8708" min="8708" style="1" width="7.42"/>
    <col collapsed="false" customWidth="true" hidden="false" outlineLevel="0" max="8709" min="8709" style="1" width="33.86"/>
    <col collapsed="false" customWidth="true" hidden="false" outlineLevel="0" max="8710" min="8710" style="1" width="8.15"/>
    <col collapsed="false" customWidth="true" hidden="false" outlineLevel="0" max="8711" min="8711" style="1" width="1.29"/>
    <col collapsed="false" customWidth="true" hidden="false" outlineLevel="0" max="8712" min="8712" style="1" width="1"/>
    <col collapsed="false" customWidth="true" hidden="false" outlineLevel="0" max="8713" min="8713" style="1" width="15.85"/>
    <col collapsed="false" customWidth="true" hidden="false" outlineLevel="0" max="8714" min="8714" style="1" width="0.86"/>
    <col collapsed="false" customWidth="true" hidden="false" outlineLevel="0" max="8715" min="8715" style="1" width="15.85"/>
    <col collapsed="false" customWidth="true" hidden="false" outlineLevel="0" max="8716" min="8716" style="1" width="13.57"/>
    <col collapsed="false" customWidth="true" hidden="false" outlineLevel="0" max="8717" min="8717" style="1" width="11"/>
    <col collapsed="false" customWidth="true" hidden="false" outlineLevel="0" max="8718" min="8718" style="1" width="12.86"/>
    <col collapsed="false" customWidth="false" hidden="false" outlineLevel="0" max="8960" min="8719" style="1" width="8.29"/>
    <col collapsed="false" customWidth="true" hidden="false" outlineLevel="0" max="8963" min="8961" style="1" width="1.42"/>
    <col collapsed="false" customWidth="true" hidden="false" outlineLevel="0" max="8964" min="8964" style="1" width="7.42"/>
    <col collapsed="false" customWidth="true" hidden="false" outlineLevel="0" max="8965" min="8965" style="1" width="33.86"/>
    <col collapsed="false" customWidth="true" hidden="false" outlineLevel="0" max="8966" min="8966" style="1" width="8.15"/>
    <col collapsed="false" customWidth="true" hidden="false" outlineLevel="0" max="8967" min="8967" style="1" width="1.29"/>
    <col collapsed="false" customWidth="true" hidden="false" outlineLevel="0" max="8968" min="8968" style="1" width="1"/>
    <col collapsed="false" customWidth="true" hidden="false" outlineLevel="0" max="8969" min="8969" style="1" width="15.85"/>
    <col collapsed="false" customWidth="true" hidden="false" outlineLevel="0" max="8970" min="8970" style="1" width="0.86"/>
    <col collapsed="false" customWidth="true" hidden="false" outlineLevel="0" max="8971" min="8971" style="1" width="15.85"/>
    <col collapsed="false" customWidth="true" hidden="false" outlineLevel="0" max="8972" min="8972" style="1" width="13.57"/>
    <col collapsed="false" customWidth="true" hidden="false" outlineLevel="0" max="8973" min="8973" style="1" width="11"/>
    <col collapsed="false" customWidth="true" hidden="false" outlineLevel="0" max="8974" min="8974" style="1" width="12.86"/>
    <col collapsed="false" customWidth="false" hidden="false" outlineLevel="0" max="9216" min="8975" style="1" width="8.29"/>
    <col collapsed="false" customWidth="true" hidden="false" outlineLevel="0" max="9219" min="9217" style="1" width="1.42"/>
    <col collapsed="false" customWidth="true" hidden="false" outlineLevel="0" max="9220" min="9220" style="1" width="7.42"/>
    <col collapsed="false" customWidth="true" hidden="false" outlineLevel="0" max="9221" min="9221" style="1" width="33.86"/>
    <col collapsed="false" customWidth="true" hidden="false" outlineLevel="0" max="9222" min="9222" style="1" width="8.15"/>
    <col collapsed="false" customWidth="true" hidden="false" outlineLevel="0" max="9223" min="9223" style="1" width="1.29"/>
    <col collapsed="false" customWidth="true" hidden="false" outlineLevel="0" max="9224" min="9224" style="1" width="1"/>
    <col collapsed="false" customWidth="true" hidden="false" outlineLevel="0" max="9225" min="9225" style="1" width="15.85"/>
    <col collapsed="false" customWidth="true" hidden="false" outlineLevel="0" max="9226" min="9226" style="1" width="0.86"/>
    <col collapsed="false" customWidth="true" hidden="false" outlineLevel="0" max="9227" min="9227" style="1" width="15.85"/>
    <col collapsed="false" customWidth="true" hidden="false" outlineLevel="0" max="9228" min="9228" style="1" width="13.57"/>
    <col collapsed="false" customWidth="true" hidden="false" outlineLevel="0" max="9229" min="9229" style="1" width="11"/>
    <col collapsed="false" customWidth="true" hidden="false" outlineLevel="0" max="9230" min="9230" style="1" width="12.86"/>
    <col collapsed="false" customWidth="false" hidden="false" outlineLevel="0" max="9472" min="9231" style="1" width="8.29"/>
    <col collapsed="false" customWidth="true" hidden="false" outlineLevel="0" max="9475" min="9473" style="1" width="1.42"/>
    <col collapsed="false" customWidth="true" hidden="false" outlineLevel="0" max="9476" min="9476" style="1" width="7.42"/>
    <col collapsed="false" customWidth="true" hidden="false" outlineLevel="0" max="9477" min="9477" style="1" width="33.86"/>
    <col collapsed="false" customWidth="true" hidden="false" outlineLevel="0" max="9478" min="9478" style="1" width="8.15"/>
    <col collapsed="false" customWidth="true" hidden="false" outlineLevel="0" max="9479" min="9479" style="1" width="1.29"/>
    <col collapsed="false" customWidth="true" hidden="false" outlineLevel="0" max="9480" min="9480" style="1" width="1"/>
    <col collapsed="false" customWidth="true" hidden="false" outlineLevel="0" max="9481" min="9481" style="1" width="15.85"/>
    <col collapsed="false" customWidth="true" hidden="false" outlineLevel="0" max="9482" min="9482" style="1" width="0.86"/>
    <col collapsed="false" customWidth="true" hidden="false" outlineLevel="0" max="9483" min="9483" style="1" width="15.85"/>
    <col collapsed="false" customWidth="true" hidden="false" outlineLevel="0" max="9484" min="9484" style="1" width="13.57"/>
    <col collapsed="false" customWidth="true" hidden="false" outlineLevel="0" max="9485" min="9485" style="1" width="11"/>
    <col collapsed="false" customWidth="true" hidden="false" outlineLevel="0" max="9486" min="9486" style="1" width="12.86"/>
    <col collapsed="false" customWidth="false" hidden="false" outlineLevel="0" max="9728" min="9487" style="1" width="8.29"/>
    <col collapsed="false" customWidth="true" hidden="false" outlineLevel="0" max="9731" min="9729" style="1" width="1.42"/>
    <col collapsed="false" customWidth="true" hidden="false" outlineLevel="0" max="9732" min="9732" style="1" width="7.42"/>
    <col collapsed="false" customWidth="true" hidden="false" outlineLevel="0" max="9733" min="9733" style="1" width="33.86"/>
    <col collapsed="false" customWidth="true" hidden="false" outlineLevel="0" max="9734" min="9734" style="1" width="8.15"/>
    <col collapsed="false" customWidth="true" hidden="false" outlineLevel="0" max="9735" min="9735" style="1" width="1.29"/>
    <col collapsed="false" customWidth="true" hidden="false" outlineLevel="0" max="9736" min="9736" style="1" width="1"/>
    <col collapsed="false" customWidth="true" hidden="false" outlineLevel="0" max="9737" min="9737" style="1" width="15.85"/>
    <col collapsed="false" customWidth="true" hidden="false" outlineLevel="0" max="9738" min="9738" style="1" width="0.86"/>
    <col collapsed="false" customWidth="true" hidden="false" outlineLevel="0" max="9739" min="9739" style="1" width="15.85"/>
    <col collapsed="false" customWidth="true" hidden="false" outlineLevel="0" max="9740" min="9740" style="1" width="13.57"/>
    <col collapsed="false" customWidth="true" hidden="false" outlineLevel="0" max="9741" min="9741" style="1" width="11"/>
    <col collapsed="false" customWidth="true" hidden="false" outlineLevel="0" max="9742" min="9742" style="1" width="12.86"/>
    <col collapsed="false" customWidth="false" hidden="false" outlineLevel="0" max="9984" min="9743" style="1" width="8.29"/>
    <col collapsed="false" customWidth="true" hidden="false" outlineLevel="0" max="9987" min="9985" style="1" width="1.42"/>
    <col collapsed="false" customWidth="true" hidden="false" outlineLevel="0" max="9988" min="9988" style="1" width="7.42"/>
    <col collapsed="false" customWidth="true" hidden="false" outlineLevel="0" max="9989" min="9989" style="1" width="33.86"/>
    <col collapsed="false" customWidth="true" hidden="false" outlineLevel="0" max="9990" min="9990" style="1" width="8.15"/>
    <col collapsed="false" customWidth="true" hidden="false" outlineLevel="0" max="9991" min="9991" style="1" width="1.29"/>
    <col collapsed="false" customWidth="true" hidden="false" outlineLevel="0" max="9992" min="9992" style="1" width="1"/>
    <col collapsed="false" customWidth="true" hidden="false" outlineLevel="0" max="9993" min="9993" style="1" width="15.85"/>
    <col collapsed="false" customWidth="true" hidden="false" outlineLevel="0" max="9994" min="9994" style="1" width="0.86"/>
    <col collapsed="false" customWidth="true" hidden="false" outlineLevel="0" max="9995" min="9995" style="1" width="15.85"/>
    <col collapsed="false" customWidth="true" hidden="false" outlineLevel="0" max="9996" min="9996" style="1" width="13.57"/>
    <col collapsed="false" customWidth="true" hidden="false" outlineLevel="0" max="9997" min="9997" style="1" width="11"/>
    <col collapsed="false" customWidth="true" hidden="false" outlineLevel="0" max="9998" min="9998" style="1" width="12.86"/>
    <col collapsed="false" customWidth="false" hidden="false" outlineLevel="0" max="10240" min="9999" style="1" width="8.29"/>
    <col collapsed="false" customWidth="true" hidden="false" outlineLevel="0" max="10243" min="10241" style="1" width="1.42"/>
    <col collapsed="false" customWidth="true" hidden="false" outlineLevel="0" max="10244" min="10244" style="1" width="7.42"/>
    <col collapsed="false" customWidth="true" hidden="false" outlineLevel="0" max="10245" min="10245" style="1" width="33.86"/>
    <col collapsed="false" customWidth="true" hidden="false" outlineLevel="0" max="10246" min="10246" style="1" width="8.15"/>
    <col collapsed="false" customWidth="true" hidden="false" outlineLevel="0" max="10247" min="10247" style="1" width="1.29"/>
    <col collapsed="false" customWidth="true" hidden="false" outlineLevel="0" max="10248" min="10248" style="1" width="1"/>
    <col collapsed="false" customWidth="true" hidden="false" outlineLevel="0" max="10249" min="10249" style="1" width="15.85"/>
    <col collapsed="false" customWidth="true" hidden="false" outlineLevel="0" max="10250" min="10250" style="1" width="0.86"/>
    <col collapsed="false" customWidth="true" hidden="false" outlineLevel="0" max="10251" min="10251" style="1" width="15.85"/>
    <col collapsed="false" customWidth="true" hidden="false" outlineLevel="0" max="10252" min="10252" style="1" width="13.57"/>
    <col collapsed="false" customWidth="true" hidden="false" outlineLevel="0" max="10253" min="10253" style="1" width="11"/>
    <col collapsed="false" customWidth="true" hidden="false" outlineLevel="0" max="10254" min="10254" style="1" width="12.86"/>
    <col collapsed="false" customWidth="false" hidden="false" outlineLevel="0" max="10496" min="10255" style="1" width="8.29"/>
    <col collapsed="false" customWidth="true" hidden="false" outlineLevel="0" max="10499" min="10497" style="1" width="1.42"/>
    <col collapsed="false" customWidth="true" hidden="false" outlineLevel="0" max="10500" min="10500" style="1" width="7.42"/>
    <col collapsed="false" customWidth="true" hidden="false" outlineLevel="0" max="10501" min="10501" style="1" width="33.86"/>
    <col collapsed="false" customWidth="true" hidden="false" outlineLevel="0" max="10502" min="10502" style="1" width="8.15"/>
    <col collapsed="false" customWidth="true" hidden="false" outlineLevel="0" max="10503" min="10503" style="1" width="1.29"/>
    <col collapsed="false" customWidth="true" hidden="false" outlineLevel="0" max="10504" min="10504" style="1" width="1"/>
    <col collapsed="false" customWidth="true" hidden="false" outlineLevel="0" max="10505" min="10505" style="1" width="15.85"/>
    <col collapsed="false" customWidth="true" hidden="false" outlineLevel="0" max="10506" min="10506" style="1" width="0.86"/>
    <col collapsed="false" customWidth="true" hidden="false" outlineLevel="0" max="10507" min="10507" style="1" width="15.85"/>
    <col collapsed="false" customWidth="true" hidden="false" outlineLevel="0" max="10508" min="10508" style="1" width="13.57"/>
    <col collapsed="false" customWidth="true" hidden="false" outlineLevel="0" max="10509" min="10509" style="1" width="11"/>
    <col collapsed="false" customWidth="true" hidden="false" outlineLevel="0" max="10510" min="10510" style="1" width="12.86"/>
    <col collapsed="false" customWidth="false" hidden="false" outlineLevel="0" max="10752" min="10511" style="1" width="8.29"/>
    <col collapsed="false" customWidth="true" hidden="false" outlineLevel="0" max="10755" min="10753" style="1" width="1.42"/>
    <col collapsed="false" customWidth="true" hidden="false" outlineLevel="0" max="10756" min="10756" style="1" width="7.42"/>
    <col collapsed="false" customWidth="true" hidden="false" outlineLevel="0" max="10757" min="10757" style="1" width="33.86"/>
    <col collapsed="false" customWidth="true" hidden="false" outlineLevel="0" max="10758" min="10758" style="1" width="8.15"/>
    <col collapsed="false" customWidth="true" hidden="false" outlineLevel="0" max="10759" min="10759" style="1" width="1.29"/>
    <col collapsed="false" customWidth="true" hidden="false" outlineLevel="0" max="10760" min="10760" style="1" width="1"/>
    <col collapsed="false" customWidth="true" hidden="false" outlineLevel="0" max="10761" min="10761" style="1" width="15.85"/>
    <col collapsed="false" customWidth="true" hidden="false" outlineLevel="0" max="10762" min="10762" style="1" width="0.86"/>
    <col collapsed="false" customWidth="true" hidden="false" outlineLevel="0" max="10763" min="10763" style="1" width="15.85"/>
    <col collapsed="false" customWidth="true" hidden="false" outlineLevel="0" max="10764" min="10764" style="1" width="13.57"/>
    <col collapsed="false" customWidth="true" hidden="false" outlineLevel="0" max="10765" min="10765" style="1" width="11"/>
    <col collapsed="false" customWidth="true" hidden="false" outlineLevel="0" max="10766" min="10766" style="1" width="12.86"/>
    <col collapsed="false" customWidth="false" hidden="false" outlineLevel="0" max="11008" min="10767" style="1" width="8.29"/>
    <col collapsed="false" customWidth="true" hidden="false" outlineLevel="0" max="11011" min="11009" style="1" width="1.42"/>
    <col collapsed="false" customWidth="true" hidden="false" outlineLevel="0" max="11012" min="11012" style="1" width="7.42"/>
    <col collapsed="false" customWidth="true" hidden="false" outlineLevel="0" max="11013" min="11013" style="1" width="33.86"/>
    <col collapsed="false" customWidth="true" hidden="false" outlineLevel="0" max="11014" min="11014" style="1" width="8.15"/>
    <col collapsed="false" customWidth="true" hidden="false" outlineLevel="0" max="11015" min="11015" style="1" width="1.29"/>
    <col collapsed="false" customWidth="true" hidden="false" outlineLevel="0" max="11016" min="11016" style="1" width="1"/>
    <col collapsed="false" customWidth="true" hidden="false" outlineLevel="0" max="11017" min="11017" style="1" width="15.85"/>
    <col collapsed="false" customWidth="true" hidden="false" outlineLevel="0" max="11018" min="11018" style="1" width="0.86"/>
    <col collapsed="false" customWidth="true" hidden="false" outlineLevel="0" max="11019" min="11019" style="1" width="15.85"/>
    <col collapsed="false" customWidth="true" hidden="false" outlineLevel="0" max="11020" min="11020" style="1" width="13.57"/>
    <col collapsed="false" customWidth="true" hidden="false" outlineLevel="0" max="11021" min="11021" style="1" width="11"/>
    <col collapsed="false" customWidth="true" hidden="false" outlineLevel="0" max="11022" min="11022" style="1" width="12.86"/>
    <col collapsed="false" customWidth="false" hidden="false" outlineLevel="0" max="11264" min="11023" style="1" width="8.29"/>
    <col collapsed="false" customWidth="true" hidden="false" outlineLevel="0" max="11267" min="11265" style="1" width="1.42"/>
    <col collapsed="false" customWidth="true" hidden="false" outlineLevel="0" max="11268" min="11268" style="1" width="7.42"/>
    <col collapsed="false" customWidth="true" hidden="false" outlineLevel="0" max="11269" min="11269" style="1" width="33.86"/>
    <col collapsed="false" customWidth="true" hidden="false" outlineLevel="0" max="11270" min="11270" style="1" width="8.15"/>
    <col collapsed="false" customWidth="true" hidden="false" outlineLevel="0" max="11271" min="11271" style="1" width="1.29"/>
    <col collapsed="false" customWidth="true" hidden="false" outlineLevel="0" max="11272" min="11272" style="1" width="1"/>
    <col collapsed="false" customWidth="true" hidden="false" outlineLevel="0" max="11273" min="11273" style="1" width="15.85"/>
    <col collapsed="false" customWidth="true" hidden="false" outlineLevel="0" max="11274" min="11274" style="1" width="0.86"/>
    <col collapsed="false" customWidth="true" hidden="false" outlineLevel="0" max="11275" min="11275" style="1" width="15.85"/>
    <col collapsed="false" customWidth="true" hidden="false" outlineLevel="0" max="11276" min="11276" style="1" width="13.57"/>
    <col collapsed="false" customWidth="true" hidden="false" outlineLevel="0" max="11277" min="11277" style="1" width="11"/>
    <col collapsed="false" customWidth="true" hidden="false" outlineLevel="0" max="11278" min="11278" style="1" width="12.86"/>
    <col collapsed="false" customWidth="false" hidden="false" outlineLevel="0" max="11520" min="11279" style="1" width="8.29"/>
    <col collapsed="false" customWidth="true" hidden="false" outlineLevel="0" max="11523" min="11521" style="1" width="1.42"/>
    <col collapsed="false" customWidth="true" hidden="false" outlineLevel="0" max="11524" min="11524" style="1" width="7.42"/>
    <col collapsed="false" customWidth="true" hidden="false" outlineLevel="0" max="11525" min="11525" style="1" width="33.86"/>
    <col collapsed="false" customWidth="true" hidden="false" outlineLevel="0" max="11526" min="11526" style="1" width="8.15"/>
    <col collapsed="false" customWidth="true" hidden="false" outlineLevel="0" max="11527" min="11527" style="1" width="1.29"/>
    <col collapsed="false" customWidth="true" hidden="false" outlineLevel="0" max="11528" min="11528" style="1" width="1"/>
    <col collapsed="false" customWidth="true" hidden="false" outlineLevel="0" max="11529" min="11529" style="1" width="15.85"/>
    <col collapsed="false" customWidth="true" hidden="false" outlineLevel="0" max="11530" min="11530" style="1" width="0.86"/>
    <col collapsed="false" customWidth="true" hidden="false" outlineLevel="0" max="11531" min="11531" style="1" width="15.85"/>
    <col collapsed="false" customWidth="true" hidden="false" outlineLevel="0" max="11532" min="11532" style="1" width="13.57"/>
    <col collapsed="false" customWidth="true" hidden="false" outlineLevel="0" max="11533" min="11533" style="1" width="11"/>
    <col collapsed="false" customWidth="true" hidden="false" outlineLevel="0" max="11534" min="11534" style="1" width="12.86"/>
    <col collapsed="false" customWidth="false" hidden="false" outlineLevel="0" max="11776" min="11535" style="1" width="8.29"/>
    <col collapsed="false" customWidth="true" hidden="false" outlineLevel="0" max="11779" min="11777" style="1" width="1.42"/>
    <col collapsed="false" customWidth="true" hidden="false" outlineLevel="0" max="11780" min="11780" style="1" width="7.42"/>
    <col collapsed="false" customWidth="true" hidden="false" outlineLevel="0" max="11781" min="11781" style="1" width="33.86"/>
    <col collapsed="false" customWidth="true" hidden="false" outlineLevel="0" max="11782" min="11782" style="1" width="8.15"/>
    <col collapsed="false" customWidth="true" hidden="false" outlineLevel="0" max="11783" min="11783" style="1" width="1.29"/>
    <col collapsed="false" customWidth="true" hidden="false" outlineLevel="0" max="11784" min="11784" style="1" width="1"/>
    <col collapsed="false" customWidth="true" hidden="false" outlineLevel="0" max="11785" min="11785" style="1" width="15.85"/>
    <col collapsed="false" customWidth="true" hidden="false" outlineLevel="0" max="11786" min="11786" style="1" width="0.86"/>
    <col collapsed="false" customWidth="true" hidden="false" outlineLevel="0" max="11787" min="11787" style="1" width="15.85"/>
    <col collapsed="false" customWidth="true" hidden="false" outlineLevel="0" max="11788" min="11788" style="1" width="13.57"/>
    <col collapsed="false" customWidth="true" hidden="false" outlineLevel="0" max="11789" min="11789" style="1" width="11"/>
    <col collapsed="false" customWidth="true" hidden="false" outlineLevel="0" max="11790" min="11790" style="1" width="12.86"/>
    <col collapsed="false" customWidth="false" hidden="false" outlineLevel="0" max="12032" min="11791" style="1" width="8.29"/>
    <col collapsed="false" customWidth="true" hidden="false" outlineLevel="0" max="12035" min="12033" style="1" width="1.42"/>
    <col collapsed="false" customWidth="true" hidden="false" outlineLevel="0" max="12036" min="12036" style="1" width="7.42"/>
    <col collapsed="false" customWidth="true" hidden="false" outlineLevel="0" max="12037" min="12037" style="1" width="33.86"/>
    <col collapsed="false" customWidth="true" hidden="false" outlineLevel="0" max="12038" min="12038" style="1" width="8.15"/>
    <col collapsed="false" customWidth="true" hidden="false" outlineLevel="0" max="12039" min="12039" style="1" width="1.29"/>
    <col collapsed="false" customWidth="true" hidden="false" outlineLevel="0" max="12040" min="12040" style="1" width="1"/>
    <col collapsed="false" customWidth="true" hidden="false" outlineLevel="0" max="12041" min="12041" style="1" width="15.85"/>
    <col collapsed="false" customWidth="true" hidden="false" outlineLevel="0" max="12042" min="12042" style="1" width="0.86"/>
    <col collapsed="false" customWidth="true" hidden="false" outlineLevel="0" max="12043" min="12043" style="1" width="15.85"/>
    <col collapsed="false" customWidth="true" hidden="false" outlineLevel="0" max="12044" min="12044" style="1" width="13.57"/>
    <col collapsed="false" customWidth="true" hidden="false" outlineLevel="0" max="12045" min="12045" style="1" width="11"/>
    <col collapsed="false" customWidth="true" hidden="false" outlineLevel="0" max="12046" min="12046" style="1" width="12.86"/>
    <col collapsed="false" customWidth="false" hidden="false" outlineLevel="0" max="12288" min="12047" style="1" width="8.29"/>
    <col collapsed="false" customWidth="true" hidden="false" outlineLevel="0" max="12291" min="12289" style="1" width="1.42"/>
    <col collapsed="false" customWidth="true" hidden="false" outlineLevel="0" max="12292" min="12292" style="1" width="7.42"/>
    <col collapsed="false" customWidth="true" hidden="false" outlineLevel="0" max="12293" min="12293" style="1" width="33.86"/>
    <col collapsed="false" customWidth="true" hidden="false" outlineLevel="0" max="12294" min="12294" style="1" width="8.15"/>
    <col collapsed="false" customWidth="true" hidden="false" outlineLevel="0" max="12295" min="12295" style="1" width="1.29"/>
    <col collapsed="false" customWidth="true" hidden="false" outlineLevel="0" max="12296" min="12296" style="1" width="1"/>
    <col collapsed="false" customWidth="true" hidden="false" outlineLevel="0" max="12297" min="12297" style="1" width="15.85"/>
    <col collapsed="false" customWidth="true" hidden="false" outlineLevel="0" max="12298" min="12298" style="1" width="0.86"/>
    <col collapsed="false" customWidth="true" hidden="false" outlineLevel="0" max="12299" min="12299" style="1" width="15.85"/>
    <col collapsed="false" customWidth="true" hidden="false" outlineLevel="0" max="12300" min="12300" style="1" width="13.57"/>
    <col collapsed="false" customWidth="true" hidden="false" outlineLevel="0" max="12301" min="12301" style="1" width="11"/>
    <col collapsed="false" customWidth="true" hidden="false" outlineLevel="0" max="12302" min="12302" style="1" width="12.86"/>
    <col collapsed="false" customWidth="false" hidden="false" outlineLevel="0" max="12544" min="12303" style="1" width="8.29"/>
    <col collapsed="false" customWidth="true" hidden="false" outlineLevel="0" max="12547" min="12545" style="1" width="1.42"/>
    <col collapsed="false" customWidth="true" hidden="false" outlineLevel="0" max="12548" min="12548" style="1" width="7.42"/>
    <col collapsed="false" customWidth="true" hidden="false" outlineLevel="0" max="12549" min="12549" style="1" width="33.86"/>
    <col collapsed="false" customWidth="true" hidden="false" outlineLevel="0" max="12550" min="12550" style="1" width="8.15"/>
    <col collapsed="false" customWidth="true" hidden="false" outlineLevel="0" max="12551" min="12551" style="1" width="1.29"/>
    <col collapsed="false" customWidth="true" hidden="false" outlineLevel="0" max="12552" min="12552" style="1" width="1"/>
    <col collapsed="false" customWidth="true" hidden="false" outlineLevel="0" max="12553" min="12553" style="1" width="15.85"/>
    <col collapsed="false" customWidth="true" hidden="false" outlineLevel="0" max="12554" min="12554" style="1" width="0.86"/>
    <col collapsed="false" customWidth="true" hidden="false" outlineLevel="0" max="12555" min="12555" style="1" width="15.85"/>
    <col collapsed="false" customWidth="true" hidden="false" outlineLevel="0" max="12556" min="12556" style="1" width="13.57"/>
    <col collapsed="false" customWidth="true" hidden="false" outlineLevel="0" max="12557" min="12557" style="1" width="11"/>
    <col collapsed="false" customWidth="true" hidden="false" outlineLevel="0" max="12558" min="12558" style="1" width="12.86"/>
    <col collapsed="false" customWidth="false" hidden="false" outlineLevel="0" max="12800" min="12559" style="1" width="8.29"/>
    <col collapsed="false" customWidth="true" hidden="false" outlineLevel="0" max="12803" min="12801" style="1" width="1.42"/>
    <col collapsed="false" customWidth="true" hidden="false" outlineLevel="0" max="12804" min="12804" style="1" width="7.42"/>
    <col collapsed="false" customWidth="true" hidden="false" outlineLevel="0" max="12805" min="12805" style="1" width="33.86"/>
    <col collapsed="false" customWidth="true" hidden="false" outlineLevel="0" max="12806" min="12806" style="1" width="8.15"/>
    <col collapsed="false" customWidth="true" hidden="false" outlineLevel="0" max="12807" min="12807" style="1" width="1.29"/>
    <col collapsed="false" customWidth="true" hidden="false" outlineLevel="0" max="12808" min="12808" style="1" width="1"/>
    <col collapsed="false" customWidth="true" hidden="false" outlineLevel="0" max="12809" min="12809" style="1" width="15.85"/>
    <col collapsed="false" customWidth="true" hidden="false" outlineLevel="0" max="12810" min="12810" style="1" width="0.86"/>
    <col collapsed="false" customWidth="true" hidden="false" outlineLevel="0" max="12811" min="12811" style="1" width="15.85"/>
    <col collapsed="false" customWidth="true" hidden="false" outlineLevel="0" max="12812" min="12812" style="1" width="13.57"/>
    <col collapsed="false" customWidth="true" hidden="false" outlineLevel="0" max="12813" min="12813" style="1" width="11"/>
    <col collapsed="false" customWidth="true" hidden="false" outlineLevel="0" max="12814" min="12814" style="1" width="12.86"/>
    <col collapsed="false" customWidth="false" hidden="false" outlineLevel="0" max="13056" min="12815" style="1" width="8.29"/>
    <col collapsed="false" customWidth="true" hidden="false" outlineLevel="0" max="13059" min="13057" style="1" width="1.42"/>
    <col collapsed="false" customWidth="true" hidden="false" outlineLevel="0" max="13060" min="13060" style="1" width="7.42"/>
    <col collapsed="false" customWidth="true" hidden="false" outlineLevel="0" max="13061" min="13061" style="1" width="33.86"/>
    <col collapsed="false" customWidth="true" hidden="false" outlineLevel="0" max="13062" min="13062" style="1" width="8.15"/>
    <col collapsed="false" customWidth="true" hidden="false" outlineLevel="0" max="13063" min="13063" style="1" width="1.29"/>
    <col collapsed="false" customWidth="true" hidden="false" outlineLevel="0" max="13064" min="13064" style="1" width="1"/>
    <col collapsed="false" customWidth="true" hidden="false" outlineLevel="0" max="13065" min="13065" style="1" width="15.85"/>
    <col collapsed="false" customWidth="true" hidden="false" outlineLevel="0" max="13066" min="13066" style="1" width="0.86"/>
    <col collapsed="false" customWidth="true" hidden="false" outlineLevel="0" max="13067" min="13067" style="1" width="15.85"/>
    <col collapsed="false" customWidth="true" hidden="false" outlineLevel="0" max="13068" min="13068" style="1" width="13.57"/>
    <col collapsed="false" customWidth="true" hidden="false" outlineLevel="0" max="13069" min="13069" style="1" width="11"/>
    <col collapsed="false" customWidth="true" hidden="false" outlineLevel="0" max="13070" min="13070" style="1" width="12.86"/>
    <col collapsed="false" customWidth="false" hidden="false" outlineLevel="0" max="13312" min="13071" style="1" width="8.29"/>
    <col collapsed="false" customWidth="true" hidden="false" outlineLevel="0" max="13315" min="13313" style="1" width="1.42"/>
    <col collapsed="false" customWidth="true" hidden="false" outlineLevel="0" max="13316" min="13316" style="1" width="7.42"/>
    <col collapsed="false" customWidth="true" hidden="false" outlineLevel="0" max="13317" min="13317" style="1" width="33.86"/>
    <col collapsed="false" customWidth="true" hidden="false" outlineLevel="0" max="13318" min="13318" style="1" width="8.15"/>
    <col collapsed="false" customWidth="true" hidden="false" outlineLevel="0" max="13319" min="13319" style="1" width="1.29"/>
    <col collapsed="false" customWidth="true" hidden="false" outlineLevel="0" max="13320" min="13320" style="1" width="1"/>
    <col collapsed="false" customWidth="true" hidden="false" outlineLevel="0" max="13321" min="13321" style="1" width="15.85"/>
    <col collapsed="false" customWidth="true" hidden="false" outlineLevel="0" max="13322" min="13322" style="1" width="0.86"/>
    <col collapsed="false" customWidth="true" hidden="false" outlineLevel="0" max="13323" min="13323" style="1" width="15.85"/>
    <col collapsed="false" customWidth="true" hidden="false" outlineLevel="0" max="13324" min="13324" style="1" width="13.57"/>
    <col collapsed="false" customWidth="true" hidden="false" outlineLevel="0" max="13325" min="13325" style="1" width="11"/>
    <col collapsed="false" customWidth="true" hidden="false" outlineLevel="0" max="13326" min="13326" style="1" width="12.86"/>
    <col collapsed="false" customWidth="false" hidden="false" outlineLevel="0" max="13568" min="13327" style="1" width="8.29"/>
    <col collapsed="false" customWidth="true" hidden="false" outlineLevel="0" max="13571" min="13569" style="1" width="1.42"/>
    <col collapsed="false" customWidth="true" hidden="false" outlineLevel="0" max="13572" min="13572" style="1" width="7.42"/>
    <col collapsed="false" customWidth="true" hidden="false" outlineLevel="0" max="13573" min="13573" style="1" width="33.86"/>
    <col collapsed="false" customWidth="true" hidden="false" outlineLevel="0" max="13574" min="13574" style="1" width="8.15"/>
    <col collapsed="false" customWidth="true" hidden="false" outlineLevel="0" max="13575" min="13575" style="1" width="1.29"/>
    <col collapsed="false" customWidth="true" hidden="false" outlineLevel="0" max="13576" min="13576" style="1" width="1"/>
    <col collapsed="false" customWidth="true" hidden="false" outlineLevel="0" max="13577" min="13577" style="1" width="15.85"/>
    <col collapsed="false" customWidth="true" hidden="false" outlineLevel="0" max="13578" min="13578" style="1" width="0.86"/>
    <col collapsed="false" customWidth="true" hidden="false" outlineLevel="0" max="13579" min="13579" style="1" width="15.85"/>
    <col collapsed="false" customWidth="true" hidden="false" outlineLevel="0" max="13580" min="13580" style="1" width="13.57"/>
    <col collapsed="false" customWidth="true" hidden="false" outlineLevel="0" max="13581" min="13581" style="1" width="11"/>
    <col collapsed="false" customWidth="true" hidden="false" outlineLevel="0" max="13582" min="13582" style="1" width="12.86"/>
    <col collapsed="false" customWidth="false" hidden="false" outlineLevel="0" max="13824" min="13583" style="1" width="8.29"/>
    <col collapsed="false" customWidth="true" hidden="false" outlineLevel="0" max="13827" min="13825" style="1" width="1.42"/>
    <col collapsed="false" customWidth="true" hidden="false" outlineLevel="0" max="13828" min="13828" style="1" width="7.42"/>
    <col collapsed="false" customWidth="true" hidden="false" outlineLevel="0" max="13829" min="13829" style="1" width="33.86"/>
    <col collapsed="false" customWidth="true" hidden="false" outlineLevel="0" max="13830" min="13830" style="1" width="8.15"/>
    <col collapsed="false" customWidth="true" hidden="false" outlineLevel="0" max="13831" min="13831" style="1" width="1.29"/>
    <col collapsed="false" customWidth="true" hidden="false" outlineLevel="0" max="13832" min="13832" style="1" width="1"/>
    <col collapsed="false" customWidth="true" hidden="false" outlineLevel="0" max="13833" min="13833" style="1" width="15.85"/>
    <col collapsed="false" customWidth="true" hidden="false" outlineLevel="0" max="13834" min="13834" style="1" width="0.86"/>
    <col collapsed="false" customWidth="true" hidden="false" outlineLevel="0" max="13835" min="13835" style="1" width="15.85"/>
    <col collapsed="false" customWidth="true" hidden="false" outlineLevel="0" max="13836" min="13836" style="1" width="13.57"/>
    <col collapsed="false" customWidth="true" hidden="false" outlineLevel="0" max="13837" min="13837" style="1" width="11"/>
    <col collapsed="false" customWidth="true" hidden="false" outlineLevel="0" max="13838" min="13838" style="1" width="12.86"/>
    <col collapsed="false" customWidth="false" hidden="false" outlineLevel="0" max="14080" min="13839" style="1" width="8.29"/>
    <col collapsed="false" customWidth="true" hidden="false" outlineLevel="0" max="14083" min="14081" style="1" width="1.42"/>
    <col collapsed="false" customWidth="true" hidden="false" outlineLevel="0" max="14084" min="14084" style="1" width="7.42"/>
    <col collapsed="false" customWidth="true" hidden="false" outlineLevel="0" max="14085" min="14085" style="1" width="33.86"/>
    <col collapsed="false" customWidth="true" hidden="false" outlineLevel="0" max="14086" min="14086" style="1" width="8.15"/>
    <col collapsed="false" customWidth="true" hidden="false" outlineLevel="0" max="14087" min="14087" style="1" width="1.29"/>
    <col collapsed="false" customWidth="true" hidden="false" outlineLevel="0" max="14088" min="14088" style="1" width="1"/>
    <col collapsed="false" customWidth="true" hidden="false" outlineLevel="0" max="14089" min="14089" style="1" width="15.85"/>
    <col collapsed="false" customWidth="true" hidden="false" outlineLevel="0" max="14090" min="14090" style="1" width="0.86"/>
    <col collapsed="false" customWidth="true" hidden="false" outlineLevel="0" max="14091" min="14091" style="1" width="15.85"/>
    <col collapsed="false" customWidth="true" hidden="false" outlineLevel="0" max="14092" min="14092" style="1" width="13.57"/>
    <col collapsed="false" customWidth="true" hidden="false" outlineLevel="0" max="14093" min="14093" style="1" width="11"/>
    <col collapsed="false" customWidth="true" hidden="false" outlineLevel="0" max="14094" min="14094" style="1" width="12.86"/>
    <col collapsed="false" customWidth="false" hidden="false" outlineLevel="0" max="14336" min="14095" style="1" width="8.29"/>
    <col collapsed="false" customWidth="true" hidden="false" outlineLevel="0" max="14339" min="14337" style="1" width="1.42"/>
    <col collapsed="false" customWidth="true" hidden="false" outlineLevel="0" max="14340" min="14340" style="1" width="7.42"/>
    <col collapsed="false" customWidth="true" hidden="false" outlineLevel="0" max="14341" min="14341" style="1" width="33.86"/>
    <col collapsed="false" customWidth="true" hidden="false" outlineLevel="0" max="14342" min="14342" style="1" width="8.15"/>
    <col collapsed="false" customWidth="true" hidden="false" outlineLevel="0" max="14343" min="14343" style="1" width="1.29"/>
    <col collapsed="false" customWidth="true" hidden="false" outlineLevel="0" max="14344" min="14344" style="1" width="1"/>
    <col collapsed="false" customWidth="true" hidden="false" outlineLevel="0" max="14345" min="14345" style="1" width="15.85"/>
    <col collapsed="false" customWidth="true" hidden="false" outlineLevel="0" max="14346" min="14346" style="1" width="0.86"/>
    <col collapsed="false" customWidth="true" hidden="false" outlineLevel="0" max="14347" min="14347" style="1" width="15.85"/>
    <col collapsed="false" customWidth="true" hidden="false" outlineLevel="0" max="14348" min="14348" style="1" width="13.57"/>
    <col collapsed="false" customWidth="true" hidden="false" outlineLevel="0" max="14349" min="14349" style="1" width="11"/>
    <col collapsed="false" customWidth="true" hidden="false" outlineLevel="0" max="14350" min="14350" style="1" width="12.86"/>
    <col collapsed="false" customWidth="false" hidden="false" outlineLevel="0" max="14592" min="14351" style="1" width="8.29"/>
    <col collapsed="false" customWidth="true" hidden="false" outlineLevel="0" max="14595" min="14593" style="1" width="1.42"/>
    <col collapsed="false" customWidth="true" hidden="false" outlineLevel="0" max="14596" min="14596" style="1" width="7.42"/>
    <col collapsed="false" customWidth="true" hidden="false" outlineLevel="0" max="14597" min="14597" style="1" width="33.86"/>
    <col collapsed="false" customWidth="true" hidden="false" outlineLevel="0" max="14598" min="14598" style="1" width="8.15"/>
    <col collapsed="false" customWidth="true" hidden="false" outlineLevel="0" max="14599" min="14599" style="1" width="1.29"/>
    <col collapsed="false" customWidth="true" hidden="false" outlineLevel="0" max="14600" min="14600" style="1" width="1"/>
    <col collapsed="false" customWidth="true" hidden="false" outlineLevel="0" max="14601" min="14601" style="1" width="15.85"/>
    <col collapsed="false" customWidth="true" hidden="false" outlineLevel="0" max="14602" min="14602" style="1" width="0.86"/>
    <col collapsed="false" customWidth="true" hidden="false" outlineLevel="0" max="14603" min="14603" style="1" width="15.85"/>
    <col collapsed="false" customWidth="true" hidden="false" outlineLevel="0" max="14604" min="14604" style="1" width="13.57"/>
    <col collapsed="false" customWidth="true" hidden="false" outlineLevel="0" max="14605" min="14605" style="1" width="11"/>
    <col collapsed="false" customWidth="true" hidden="false" outlineLevel="0" max="14606" min="14606" style="1" width="12.86"/>
    <col collapsed="false" customWidth="false" hidden="false" outlineLevel="0" max="14848" min="14607" style="1" width="8.29"/>
    <col collapsed="false" customWidth="true" hidden="false" outlineLevel="0" max="14851" min="14849" style="1" width="1.42"/>
    <col collapsed="false" customWidth="true" hidden="false" outlineLevel="0" max="14852" min="14852" style="1" width="7.42"/>
    <col collapsed="false" customWidth="true" hidden="false" outlineLevel="0" max="14853" min="14853" style="1" width="33.86"/>
    <col collapsed="false" customWidth="true" hidden="false" outlineLevel="0" max="14854" min="14854" style="1" width="8.15"/>
    <col collapsed="false" customWidth="true" hidden="false" outlineLevel="0" max="14855" min="14855" style="1" width="1.29"/>
    <col collapsed="false" customWidth="true" hidden="false" outlineLevel="0" max="14856" min="14856" style="1" width="1"/>
    <col collapsed="false" customWidth="true" hidden="false" outlineLevel="0" max="14857" min="14857" style="1" width="15.85"/>
    <col collapsed="false" customWidth="true" hidden="false" outlineLevel="0" max="14858" min="14858" style="1" width="0.86"/>
    <col collapsed="false" customWidth="true" hidden="false" outlineLevel="0" max="14859" min="14859" style="1" width="15.85"/>
    <col collapsed="false" customWidth="true" hidden="false" outlineLevel="0" max="14860" min="14860" style="1" width="13.57"/>
    <col collapsed="false" customWidth="true" hidden="false" outlineLevel="0" max="14861" min="14861" style="1" width="11"/>
    <col collapsed="false" customWidth="true" hidden="false" outlineLevel="0" max="14862" min="14862" style="1" width="12.86"/>
    <col collapsed="false" customWidth="false" hidden="false" outlineLevel="0" max="15104" min="14863" style="1" width="8.29"/>
    <col collapsed="false" customWidth="true" hidden="false" outlineLevel="0" max="15107" min="15105" style="1" width="1.42"/>
    <col collapsed="false" customWidth="true" hidden="false" outlineLevel="0" max="15108" min="15108" style="1" width="7.42"/>
    <col collapsed="false" customWidth="true" hidden="false" outlineLevel="0" max="15109" min="15109" style="1" width="33.86"/>
    <col collapsed="false" customWidth="true" hidden="false" outlineLevel="0" max="15110" min="15110" style="1" width="8.15"/>
    <col collapsed="false" customWidth="true" hidden="false" outlineLevel="0" max="15111" min="15111" style="1" width="1.29"/>
    <col collapsed="false" customWidth="true" hidden="false" outlineLevel="0" max="15112" min="15112" style="1" width="1"/>
    <col collapsed="false" customWidth="true" hidden="false" outlineLevel="0" max="15113" min="15113" style="1" width="15.85"/>
    <col collapsed="false" customWidth="true" hidden="false" outlineLevel="0" max="15114" min="15114" style="1" width="0.86"/>
    <col collapsed="false" customWidth="true" hidden="false" outlineLevel="0" max="15115" min="15115" style="1" width="15.85"/>
    <col collapsed="false" customWidth="true" hidden="false" outlineLevel="0" max="15116" min="15116" style="1" width="13.57"/>
    <col collapsed="false" customWidth="true" hidden="false" outlineLevel="0" max="15117" min="15117" style="1" width="11"/>
    <col collapsed="false" customWidth="true" hidden="false" outlineLevel="0" max="15118" min="15118" style="1" width="12.86"/>
    <col collapsed="false" customWidth="false" hidden="false" outlineLevel="0" max="15360" min="15119" style="1" width="8.29"/>
    <col collapsed="false" customWidth="true" hidden="false" outlineLevel="0" max="15363" min="15361" style="1" width="1.42"/>
    <col collapsed="false" customWidth="true" hidden="false" outlineLevel="0" max="15364" min="15364" style="1" width="7.42"/>
    <col collapsed="false" customWidth="true" hidden="false" outlineLevel="0" max="15365" min="15365" style="1" width="33.86"/>
    <col collapsed="false" customWidth="true" hidden="false" outlineLevel="0" max="15366" min="15366" style="1" width="8.15"/>
    <col collapsed="false" customWidth="true" hidden="false" outlineLevel="0" max="15367" min="15367" style="1" width="1.29"/>
    <col collapsed="false" customWidth="true" hidden="false" outlineLevel="0" max="15368" min="15368" style="1" width="1"/>
    <col collapsed="false" customWidth="true" hidden="false" outlineLevel="0" max="15369" min="15369" style="1" width="15.85"/>
    <col collapsed="false" customWidth="true" hidden="false" outlineLevel="0" max="15370" min="15370" style="1" width="0.86"/>
    <col collapsed="false" customWidth="true" hidden="false" outlineLevel="0" max="15371" min="15371" style="1" width="15.85"/>
    <col collapsed="false" customWidth="true" hidden="false" outlineLevel="0" max="15372" min="15372" style="1" width="13.57"/>
    <col collapsed="false" customWidth="true" hidden="false" outlineLevel="0" max="15373" min="15373" style="1" width="11"/>
    <col collapsed="false" customWidth="true" hidden="false" outlineLevel="0" max="15374" min="15374" style="1" width="12.86"/>
    <col collapsed="false" customWidth="false" hidden="false" outlineLevel="0" max="15616" min="15375" style="1" width="8.29"/>
    <col collapsed="false" customWidth="true" hidden="false" outlineLevel="0" max="15619" min="15617" style="1" width="1.42"/>
    <col collapsed="false" customWidth="true" hidden="false" outlineLevel="0" max="15620" min="15620" style="1" width="7.42"/>
    <col collapsed="false" customWidth="true" hidden="false" outlineLevel="0" max="15621" min="15621" style="1" width="33.86"/>
    <col collapsed="false" customWidth="true" hidden="false" outlineLevel="0" max="15622" min="15622" style="1" width="8.15"/>
    <col collapsed="false" customWidth="true" hidden="false" outlineLevel="0" max="15623" min="15623" style="1" width="1.29"/>
    <col collapsed="false" customWidth="true" hidden="false" outlineLevel="0" max="15624" min="15624" style="1" width="1"/>
    <col collapsed="false" customWidth="true" hidden="false" outlineLevel="0" max="15625" min="15625" style="1" width="15.85"/>
    <col collapsed="false" customWidth="true" hidden="false" outlineLevel="0" max="15626" min="15626" style="1" width="0.86"/>
    <col collapsed="false" customWidth="true" hidden="false" outlineLevel="0" max="15627" min="15627" style="1" width="15.85"/>
    <col collapsed="false" customWidth="true" hidden="false" outlineLevel="0" max="15628" min="15628" style="1" width="13.57"/>
    <col collapsed="false" customWidth="true" hidden="false" outlineLevel="0" max="15629" min="15629" style="1" width="11"/>
    <col collapsed="false" customWidth="true" hidden="false" outlineLevel="0" max="15630" min="15630" style="1" width="12.86"/>
    <col collapsed="false" customWidth="false" hidden="false" outlineLevel="0" max="15872" min="15631" style="1" width="8.29"/>
    <col collapsed="false" customWidth="true" hidden="false" outlineLevel="0" max="15875" min="15873" style="1" width="1.42"/>
    <col collapsed="false" customWidth="true" hidden="false" outlineLevel="0" max="15876" min="15876" style="1" width="7.42"/>
    <col collapsed="false" customWidth="true" hidden="false" outlineLevel="0" max="15877" min="15877" style="1" width="33.86"/>
    <col collapsed="false" customWidth="true" hidden="false" outlineLevel="0" max="15878" min="15878" style="1" width="8.15"/>
    <col collapsed="false" customWidth="true" hidden="false" outlineLevel="0" max="15879" min="15879" style="1" width="1.29"/>
    <col collapsed="false" customWidth="true" hidden="false" outlineLevel="0" max="15880" min="15880" style="1" width="1"/>
    <col collapsed="false" customWidth="true" hidden="false" outlineLevel="0" max="15881" min="15881" style="1" width="15.85"/>
    <col collapsed="false" customWidth="true" hidden="false" outlineLevel="0" max="15882" min="15882" style="1" width="0.86"/>
    <col collapsed="false" customWidth="true" hidden="false" outlineLevel="0" max="15883" min="15883" style="1" width="15.85"/>
    <col collapsed="false" customWidth="true" hidden="false" outlineLevel="0" max="15884" min="15884" style="1" width="13.57"/>
    <col collapsed="false" customWidth="true" hidden="false" outlineLevel="0" max="15885" min="15885" style="1" width="11"/>
    <col collapsed="false" customWidth="true" hidden="false" outlineLevel="0" max="15886" min="15886" style="1" width="12.86"/>
    <col collapsed="false" customWidth="false" hidden="false" outlineLevel="0" max="16128" min="15887" style="1" width="8.29"/>
    <col collapsed="false" customWidth="true" hidden="false" outlineLevel="0" max="16131" min="16129" style="1" width="1.42"/>
    <col collapsed="false" customWidth="true" hidden="false" outlineLevel="0" max="16132" min="16132" style="1" width="7.42"/>
    <col collapsed="false" customWidth="true" hidden="false" outlineLevel="0" max="16133" min="16133" style="1" width="33.86"/>
    <col collapsed="false" customWidth="true" hidden="false" outlineLevel="0" max="16134" min="16134" style="1" width="8.15"/>
    <col collapsed="false" customWidth="true" hidden="false" outlineLevel="0" max="16135" min="16135" style="1" width="1.29"/>
    <col collapsed="false" customWidth="true" hidden="false" outlineLevel="0" max="16136" min="16136" style="1" width="1"/>
    <col collapsed="false" customWidth="true" hidden="false" outlineLevel="0" max="16137" min="16137" style="1" width="15.85"/>
    <col collapsed="false" customWidth="true" hidden="false" outlineLevel="0" max="16138" min="16138" style="1" width="0.86"/>
    <col collapsed="false" customWidth="true" hidden="false" outlineLevel="0" max="16139" min="16139" style="1" width="15.85"/>
    <col collapsed="false" customWidth="true" hidden="false" outlineLevel="0" max="16140" min="16140" style="1" width="13.57"/>
    <col collapsed="false" customWidth="true" hidden="false" outlineLevel="0" max="16141" min="16141" style="1" width="11"/>
    <col collapsed="false" customWidth="true" hidden="false" outlineLevel="0" max="16142" min="16142" style="1" width="12.86"/>
    <col collapsed="false" customWidth="false" hidden="false" outlineLevel="0" max="16384" min="16143" style="1" width="8.29"/>
  </cols>
  <sheetData>
    <row r="1" customFormat="false" ht="21.75" hidden="false" customHeight="true" outlineLevel="0" collapsed="false">
      <c r="K1" s="3" t="s">
        <v>0</v>
      </c>
    </row>
    <row r="2" customFormat="false" ht="21.75" hidden="false" customHeight="true" outlineLevel="0" collapsed="false">
      <c r="K2" s="3" t="s">
        <v>1</v>
      </c>
    </row>
    <row r="3" customFormat="false" ht="21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21.75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21.75" hidden="false" customHeight="true" outlineLevel="0" collapsed="false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21.75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customFormat="false" ht="10.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customFormat="false" ht="21.75" hidden="false" customHeight="true" outlineLevel="0" collapsed="false">
      <c r="A8" s="7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customFormat="false" ht="21.75" hidden="false" customHeight="true" outlineLevel="0" collapsed="false">
      <c r="A9" s="8"/>
      <c r="B9" s="8"/>
      <c r="C9" s="8"/>
      <c r="D9" s="8"/>
      <c r="E9" s="8"/>
      <c r="F9" s="8"/>
      <c r="G9" s="8"/>
      <c r="H9" s="8"/>
      <c r="I9" s="9" t="s">
        <v>7</v>
      </c>
      <c r="J9" s="9"/>
      <c r="K9" s="9"/>
    </row>
    <row r="10" customFormat="false" ht="21.75" hidden="false" customHeight="true" outlineLevel="0" collapsed="false">
      <c r="I10" s="10" t="s">
        <v>8</v>
      </c>
      <c r="J10" s="11"/>
      <c r="K10" s="10" t="s">
        <v>9</v>
      </c>
    </row>
    <row r="11" customFormat="false" ht="21.75" hidden="false" customHeight="true" outlineLevel="0" collapsed="false">
      <c r="F11" s="12" t="s">
        <v>10</v>
      </c>
      <c r="G11" s="12"/>
      <c r="H11" s="11"/>
      <c r="I11" s="13" t="s">
        <v>11</v>
      </c>
      <c r="J11" s="14"/>
      <c r="K11" s="13" t="s">
        <v>12</v>
      </c>
    </row>
    <row r="12" customFormat="false" ht="21.75" hidden="false" customHeight="true" outlineLevel="0" collapsed="false">
      <c r="A12" s="1" t="s">
        <v>13</v>
      </c>
      <c r="G12" s="11"/>
      <c r="H12" s="11"/>
      <c r="I12" s="15"/>
      <c r="J12" s="16"/>
      <c r="K12" s="17"/>
    </row>
    <row r="13" customFormat="false" ht="21.75" hidden="false" customHeight="true" outlineLevel="0" collapsed="false">
      <c r="B13" s="1" t="s">
        <v>14</v>
      </c>
      <c r="F13" s="16" t="n">
        <v>5</v>
      </c>
      <c r="H13" s="11"/>
      <c r="I13" s="18"/>
      <c r="J13" s="16"/>
      <c r="K13" s="18"/>
      <c r="L13" s="19"/>
    </row>
    <row r="14" customFormat="false" ht="21.75" hidden="false" customHeight="true" outlineLevel="0" collapsed="false">
      <c r="B14" s="1" t="s">
        <v>15</v>
      </c>
      <c r="F14" s="16" t="n">
        <v>6</v>
      </c>
      <c r="H14" s="11"/>
      <c r="I14" s="17"/>
      <c r="J14" s="16"/>
      <c r="K14" s="17"/>
      <c r="L14" s="19"/>
    </row>
    <row r="15" customFormat="false" ht="21.75" hidden="false" customHeight="true" outlineLevel="0" collapsed="false">
      <c r="B15" s="1" t="s">
        <v>16</v>
      </c>
      <c r="F15" s="16"/>
      <c r="H15" s="11"/>
      <c r="I15" s="17"/>
      <c r="J15" s="16"/>
      <c r="K15" s="17"/>
      <c r="L15" s="19"/>
    </row>
    <row r="16" customFormat="false" ht="21.75" hidden="false" customHeight="true" outlineLevel="0" collapsed="false">
      <c r="B16" s="1" t="s">
        <v>17</v>
      </c>
      <c r="F16" s="16" t="n">
        <v>7</v>
      </c>
      <c r="H16" s="11"/>
      <c r="I16" s="17"/>
      <c r="J16" s="16"/>
      <c r="K16" s="17"/>
      <c r="L16" s="19"/>
      <c r="M16" s="19"/>
    </row>
    <row r="17" customFormat="false" ht="21.75" hidden="false" customHeight="true" outlineLevel="0" collapsed="false">
      <c r="B17" s="1" t="s">
        <v>18</v>
      </c>
      <c r="F17" s="16"/>
      <c r="H17" s="11"/>
      <c r="I17" s="17"/>
      <c r="J17" s="16"/>
      <c r="K17" s="17"/>
      <c r="L17" s="19"/>
    </row>
    <row r="18" customFormat="false" ht="21.75" hidden="false" customHeight="true" outlineLevel="0" collapsed="false">
      <c r="B18" s="1" t="s">
        <v>19</v>
      </c>
      <c r="F18" s="16"/>
      <c r="H18" s="11"/>
      <c r="I18" s="17"/>
      <c r="J18" s="16"/>
      <c r="K18" s="20"/>
      <c r="L18" s="19"/>
    </row>
    <row r="19" customFormat="false" ht="21.75" hidden="false" customHeight="true" outlineLevel="0" collapsed="false">
      <c r="C19" s="1" t="s">
        <v>20</v>
      </c>
      <c r="F19" s="16"/>
      <c r="H19" s="11"/>
      <c r="I19" s="17"/>
      <c r="J19" s="16"/>
      <c r="K19" s="17"/>
      <c r="L19" s="19"/>
    </row>
    <row r="20" customFormat="false" ht="21.75" hidden="false" customHeight="true" outlineLevel="0" collapsed="false">
      <c r="C20" s="1" t="s">
        <v>21</v>
      </c>
      <c r="F20" s="16"/>
      <c r="H20" s="11"/>
      <c r="I20" s="17"/>
      <c r="J20" s="16"/>
      <c r="K20" s="17"/>
      <c r="L20" s="19"/>
    </row>
    <row r="21" customFormat="false" ht="21.75" hidden="false" customHeight="true" outlineLevel="0" collapsed="false">
      <c r="C21" s="21" t="s">
        <v>22</v>
      </c>
      <c r="F21" s="16"/>
      <c r="H21" s="11"/>
      <c r="I21" s="17"/>
      <c r="J21" s="16"/>
      <c r="K21" s="17"/>
      <c r="L21" s="19"/>
    </row>
    <row r="22" customFormat="false" ht="21.75" hidden="false" customHeight="true" outlineLevel="0" collapsed="false">
      <c r="D22" s="1" t="s">
        <v>23</v>
      </c>
      <c r="F22" s="16"/>
      <c r="H22" s="11"/>
      <c r="I22" s="22" t="n">
        <f aca="false">SUM(I13:I21)</f>
        <v>0</v>
      </c>
      <c r="J22" s="16"/>
      <c r="K22" s="22" t="n">
        <f aca="false">SUM(K13:K21)</f>
        <v>0</v>
      </c>
    </row>
    <row r="23" customFormat="false" ht="21.75" hidden="false" customHeight="true" outlineLevel="0" collapsed="false">
      <c r="A23" s="1" t="s">
        <v>24</v>
      </c>
      <c r="F23" s="16"/>
      <c r="H23" s="11"/>
      <c r="I23" s="15"/>
      <c r="J23" s="16"/>
      <c r="K23" s="15"/>
    </row>
    <row r="24" customFormat="false" ht="21.75" hidden="false" customHeight="true" outlineLevel="0" collapsed="false">
      <c r="B24" s="23" t="s">
        <v>25</v>
      </c>
      <c r="C24" s="23"/>
      <c r="D24" s="23"/>
      <c r="E24" s="23"/>
      <c r="F24" s="16"/>
      <c r="H24" s="11"/>
      <c r="I24" s="20"/>
      <c r="J24" s="16"/>
      <c r="K24" s="20"/>
    </row>
    <row r="25" customFormat="false" ht="21.75" hidden="false" customHeight="true" outlineLevel="0" collapsed="false">
      <c r="B25" s="21" t="s">
        <v>26</v>
      </c>
      <c r="C25" s="21"/>
      <c r="D25" s="21"/>
      <c r="E25" s="21"/>
      <c r="F25" s="16" t="s">
        <v>27</v>
      </c>
      <c r="H25" s="21"/>
      <c r="I25" s="17"/>
      <c r="J25" s="16"/>
      <c r="K25" s="17"/>
      <c r="L25" s="19"/>
    </row>
    <row r="26" customFormat="false" ht="21.75" hidden="false" customHeight="true" outlineLevel="0" collapsed="false">
      <c r="B26" s="21" t="s">
        <v>28</v>
      </c>
      <c r="E26" s="21"/>
      <c r="F26" s="16" t="n">
        <v>9</v>
      </c>
      <c r="H26" s="11"/>
      <c r="I26" s="17"/>
      <c r="J26" s="16"/>
      <c r="K26" s="17"/>
      <c r="L26" s="19"/>
      <c r="N26" s="24"/>
    </row>
    <row r="27" customFormat="false" ht="21.75" hidden="false" customHeight="true" outlineLevel="0" collapsed="false">
      <c r="B27" s="21" t="s">
        <v>29</v>
      </c>
      <c r="C27" s="21"/>
      <c r="D27" s="21"/>
      <c r="E27" s="21"/>
      <c r="F27" s="16" t="n">
        <v>10</v>
      </c>
      <c r="H27" s="11"/>
      <c r="I27" s="17"/>
      <c r="J27" s="16"/>
      <c r="K27" s="17"/>
      <c r="L27" s="19"/>
    </row>
    <row r="28" customFormat="false" ht="21.75" hidden="false" customHeight="true" outlineLevel="0" collapsed="false">
      <c r="B28" s="23" t="s">
        <v>30</v>
      </c>
      <c r="C28" s="23"/>
      <c r="D28" s="23"/>
      <c r="E28" s="23"/>
      <c r="F28" s="16"/>
      <c r="H28" s="11"/>
      <c r="I28" s="17"/>
      <c r="J28" s="16"/>
      <c r="K28" s="17"/>
      <c r="L28" s="19"/>
    </row>
    <row r="29" customFormat="false" ht="21.75" hidden="false" customHeight="true" outlineLevel="0" collapsed="false">
      <c r="B29" s="21" t="s">
        <v>31</v>
      </c>
      <c r="C29" s="21"/>
      <c r="D29" s="21"/>
      <c r="E29" s="21"/>
      <c r="F29" s="16" t="n">
        <v>11</v>
      </c>
      <c r="H29" s="11"/>
      <c r="I29" s="17"/>
      <c r="J29" s="16"/>
      <c r="K29" s="17"/>
      <c r="L29" s="19"/>
    </row>
    <row r="30" customFormat="false" ht="21.75" hidden="false" customHeight="true" outlineLevel="0" collapsed="false">
      <c r="D30" s="1" t="s">
        <v>32</v>
      </c>
      <c r="G30" s="11"/>
      <c r="H30" s="11"/>
      <c r="I30" s="22" t="n">
        <f aca="false">SUM(I24:I29)</f>
        <v>0</v>
      </c>
      <c r="J30" s="16"/>
      <c r="K30" s="22" t="n">
        <f aca="false">SUM(K24:K29)</f>
        <v>0</v>
      </c>
    </row>
    <row r="31" customFormat="false" ht="21.75" hidden="false" customHeight="true" outlineLevel="0" collapsed="false">
      <c r="A31" s="1" t="s">
        <v>33</v>
      </c>
      <c r="G31" s="11"/>
      <c r="H31" s="11"/>
      <c r="I31" s="25" t="n">
        <f aca="false">SUM(I22,I30)</f>
        <v>0</v>
      </c>
      <c r="J31" s="16"/>
      <c r="K31" s="25" t="n">
        <f aca="false">K22+K30</f>
        <v>0</v>
      </c>
    </row>
    <row r="32" customFormat="false" ht="21.75" hidden="false" customHeight="true" outlineLevel="0" collapsed="false">
      <c r="G32" s="11"/>
      <c r="H32" s="11"/>
      <c r="I32" s="17"/>
      <c r="J32" s="16"/>
      <c r="K32" s="17"/>
    </row>
    <row r="33" customFormat="false" ht="21.75" hidden="false" customHeight="true" outlineLevel="0" collapsed="false">
      <c r="G33" s="11"/>
      <c r="H33" s="11"/>
      <c r="I33" s="17"/>
      <c r="J33" s="16"/>
      <c r="K33" s="17"/>
    </row>
    <row r="34" customFormat="false" ht="21.75" hidden="false" customHeight="true" outlineLevel="0" collapsed="false">
      <c r="G34" s="11"/>
      <c r="H34" s="11"/>
      <c r="I34" s="17"/>
      <c r="J34" s="16"/>
      <c r="K34" s="17"/>
    </row>
    <row r="35" customFormat="false" ht="21.75" hidden="false" customHeight="true" outlineLevel="0" collapsed="false">
      <c r="K35" s="3" t="s">
        <v>0</v>
      </c>
    </row>
    <row r="36" customFormat="false" ht="21.75" hidden="false" customHeight="true" outlineLevel="0" collapsed="false">
      <c r="K36" s="3" t="s">
        <v>1</v>
      </c>
    </row>
    <row r="37" customFormat="false" ht="21.75" hidden="false" customHeight="true" outlineLevel="0" collapsed="false">
      <c r="A37" s="4" t="s">
        <v>34</v>
      </c>
      <c r="B37" s="4"/>
      <c r="C37" s="4"/>
      <c r="D37" s="4"/>
      <c r="E37" s="4"/>
      <c r="F37" s="4"/>
      <c r="G37" s="4"/>
      <c r="H37" s="4"/>
      <c r="I37" s="4"/>
      <c r="J37" s="4"/>
      <c r="K37" s="4"/>
    </row>
    <row r="38" customFormat="false" ht="21.75" hidden="false" customHeight="true" outlineLevel="0" collapsed="false">
      <c r="A38" s="5" t="s">
        <v>3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customFormat="false" ht="21.75" hidden="false" customHeight="true" outlineLevel="0" collapsed="false">
      <c r="A39" s="5" t="s">
        <v>35</v>
      </c>
      <c r="B39" s="5"/>
      <c r="C39" s="5"/>
      <c r="D39" s="5"/>
      <c r="E39" s="5"/>
      <c r="F39" s="5"/>
      <c r="G39" s="5"/>
      <c r="H39" s="5"/>
      <c r="I39" s="5"/>
      <c r="J39" s="5"/>
      <c r="K39" s="5"/>
    </row>
    <row r="40" customFormat="false" ht="21.75" hidden="false" customHeight="true" outlineLevel="0" collapsed="false">
      <c r="A40" s="5" t="s">
        <v>5</v>
      </c>
      <c r="B40" s="5"/>
      <c r="C40" s="5"/>
      <c r="D40" s="5"/>
      <c r="E40" s="5"/>
      <c r="F40" s="5"/>
      <c r="G40" s="5"/>
      <c r="H40" s="5"/>
      <c r="I40" s="5"/>
      <c r="J40" s="5"/>
      <c r="K40" s="5"/>
    </row>
    <row r="41" customFormat="false" ht="11.2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customFormat="false" ht="21.75" hidden="false" customHeight="true" outlineLevel="0" collapsed="false">
      <c r="A42" s="7" t="s">
        <v>36</v>
      </c>
      <c r="B42" s="7"/>
      <c r="C42" s="7"/>
      <c r="D42" s="7"/>
      <c r="E42" s="7"/>
      <c r="F42" s="7"/>
      <c r="G42" s="7"/>
      <c r="H42" s="7"/>
      <c r="I42" s="7"/>
      <c r="J42" s="7"/>
      <c r="K42" s="7"/>
    </row>
    <row r="43" customFormat="false" ht="21.75" hidden="false" customHeight="true" outlineLevel="0" collapsed="false">
      <c r="A43" s="26"/>
      <c r="B43" s="26"/>
      <c r="C43" s="26"/>
      <c r="D43" s="26"/>
      <c r="E43" s="26"/>
      <c r="F43" s="26"/>
      <c r="G43" s="26"/>
      <c r="H43" s="26"/>
      <c r="I43" s="9" t="s">
        <v>7</v>
      </c>
      <c r="J43" s="9"/>
      <c r="K43" s="9"/>
    </row>
    <row r="44" customFormat="false" ht="21.75" hidden="false" customHeight="true" outlineLevel="0" collapsed="false">
      <c r="I44" s="10" t="s">
        <v>8</v>
      </c>
      <c r="J44" s="11"/>
      <c r="K44" s="10" t="s">
        <v>9</v>
      </c>
    </row>
    <row r="45" customFormat="false" ht="21.75" hidden="false" customHeight="true" outlineLevel="0" collapsed="false">
      <c r="F45" s="12" t="s">
        <v>10</v>
      </c>
      <c r="G45" s="12"/>
      <c r="H45" s="11"/>
      <c r="I45" s="13" t="s">
        <v>11</v>
      </c>
      <c r="J45" s="14"/>
      <c r="K45" s="13" t="s">
        <v>12</v>
      </c>
    </row>
    <row r="46" s="1" customFormat="true" ht="21.75" hidden="false" customHeight="true" outlineLevel="0" collapsed="false">
      <c r="A46" s="1" t="s">
        <v>37</v>
      </c>
      <c r="G46" s="11"/>
      <c r="H46" s="11"/>
    </row>
    <row r="47" customFormat="false" ht="21.75" hidden="false" customHeight="true" outlineLevel="0" collapsed="false">
      <c r="B47" s="1" t="s">
        <v>38</v>
      </c>
      <c r="F47" s="1" t="n">
        <v>12</v>
      </c>
      <c r="G47" s="11"/>
      <c r="H47" s="11"/>
      <c r="I47" s="27"/>
      <c r="K47" s="2"/>
    </row>
    <row r="48" customFormat="false" ht="21.75" hidden="false" customHeight="true" outlineLevel="0" collapsed="false">
      <c r="B48" s="21" t="s">
        <v>39</v>
      </c>
      <c r="C48" s="21"/>
      <c r="D48" s="21"/>
      <c r="G48" s="11"/>
      <c r="H48" s="11"/>
      <c r="I48" s="27"/>
      <c r="J48" s="11"/>
      <c r="K48" s="2"/>
      <c r="L48" s="19"/>
    </row>
    <row r="49" customFormat="false" ht="21.75" hidden="false" customHeight="true" outlineLevel="0" collapsed="false">
      <c r="B49" s="21" t="s">
        <v>40</v>
      </c>
      <c r="C49" s="21"/>
      <c r="D49" s="21"/>
      <c r="G49" s="11"/>
      <c r="H49" s="11"/>
      <c r="I49" s="27"/>
      <c r="J49" s="11"/>
      <c r="K49" s="2"/>
      <c r="L49" s="19"/>
    </row>
    <row r="50" customFormat="false" ht="21.75" hidden="false" customHeight="true" outlineLevel="0" collapsed="false">
      <c r="B50" s="21"/>
      <c r="C50" s="1" t="s">
        <v>41</v>
      </c>
      <c r="F50" s="21"/>
      <c r="G50" s="11"/>
      <c r="H50" s="11"/>
      <c r="J50" s="11"/>
      <c r="K50" s="2"/>
      <c r="L50" s="19"/>
    </row>
    <row r="51" customFormat="false" ht="21.75" hidden="false" customHeight="true" outlineLevel="0" collapsed="false">
      <c r="B51" s="21"/>
      <c r="C51" s="1" t="s">
        <v>42</v>
      </c>
      <c r="F51" s="21"/>
      <c r="G51" s="11"/>
      <c r="H51" s="11"/>
      <c r="J51" s="11"/>
      <c r="K51" s="2"/>
      <c r="L51" s="19"/>
    </row>
    <row r="52" customFormat="false" ht="21.75" hidden="false" customHeight="true" outlineLevel="0" collapsed="false">
      <c r="B52" s="21"/>
      <c r="C52" s="21" t="s">
        <v>22</v>
      </c>
      <c r="E52" s="21"/>
      <c r="F52" s="21"/>
      <c r="G52" s="11"/>
      <c r="H52" s="11"/>
      <c r="J52" s="11"/>
      <c r="K52" s="2"/>
      <c r="L52" s="19"/>
    </row>
    <row r="53" customFormat="false" ht="21.75" hidden="false" customHeight="true" outlineLevel="0" collapsed="false">
      <c r="B53" s="21" t="s">
        <v>43</v>
      </c>
      <c r="F53" s="16" t="n">
        <v>13</v>
      </c>
      <c r="H53" s="11"/>
      <c r="J53" s="11"/>
      <c r="K53" s="2"/>
      <c r="L53" s="19"/>
    </row>
    <row r="54" customFormat="false" ht="21.75" hidden="false" customHeight="true" outlineLevel="0" collapsed="false">
      <c r="B54" s="21" t="s">
        <v>44</v>
      </c>
      <c r="E54" s="21"/>
      <c r="F54" s="16" t="n">
        <v>14</v>
      </c>
      <c r="G54" s="11"/>
      <c r="H54" s="11"/>
      <c r="J54" s="11"/>
      <c r="K54" s="2"/>
      <c r="L54" s="19"/>
    </row>
    <row r="55" customFormat="false" ht="21.75" hidden="false" customHeight="true" outlineLevel="0" collapsed="false">
      <c r="B55" s="23" t="s">
        <v>45</v>
      </c>
      <c r="C55" s="23"/>
      <c r="D55" s="23"/>
      <c r="E55" s="23"/>
      <c r="F55" s="21"/>
      <c r="G55" s="11"/>
      <c r="H55" s="11"/>
      <c r="J55" s="11"/>
      <c r="K55" s="2"/>
      <c r="L55" s="19"/>
    </row>
    <row r="56" customFormat="false" ht="21.75" hidden="false" customHeight="true" outlineLevel="0" collapsed="false">
      <c r="D56" s="21" t="s">
        <v>46</v>
      </c>
      <c r="F56" s="21"/>
      <c r="G56" s="11"/>
      <c r="H56" s="11"/>
      <c r="I56" s="22" t="n">
        <f aca="false">SUM(I47:I55)</f>
        <v>0</v>
      </c>
      <c r="J56" s="16"/>
      <c r="K56" s="22" t="n">
        <f aca="false">SUM(K47:K55)</f>
        <v>0</v>
      </c>
      <c r="L56" s="19"/>
      <c r="M56" s="28"/>
    </row>
    <row r="57" customFormat="false" ht="21.75" hidden="false" customHeight="true" outlineLevel="0" collapsed="false">
      <c r="A57" s="23" t="s">
        <v>47</v>
      </c>
      <c r="B57" s="23"/>
      <c r="C57" s="23"/>
      <c r="D57" s="23"/>
      <c r="E57" s="23"/>
      <c r="G57" s="11"/>
      <c r="H57" s="11"/>
      <c r="I57" s="15"/>
      <c r="J57" s="11"/>
      <c r="K57" s="2"/>
      <c r="L57" s="19"/>
    </row>
    <row r="58" customFormat="false" ht="21.75" hidden="false" customHeight="true" outlineLevel="0" collapsed="false">
      <c r="B58" s="23" t="s">
        <v>48</v>
      </c>
      <c r="C58" s="23"/>
      <c r="D58" s="23"/>
      <c r="E58" s="23"/>
      <c r="F58" s="16" t="n">
        <v>13</v>
      </c>
      <c r="H58" s="11"/>
      <c r="J58" s="2"/>
      <c r="K58" s="2"/>
      <c r="L58" s="19"/>
    </row>
    <row r="59" customFormat="false" ht="21.75" hidden="false" customHeight="true" outlineLevel="0" collapsed="false">
      <c r="B59" s="23" t="s">
        <v>49</v>
      </c>
      <c r="C59" s="23"/>
      <c r="D59" s="23"/>
      <c r="E59" s="23"/>
      <c r="F59" s="16" t="n">
        <v>14</v>
      </c>
      <c r="H59" s="11"/>
      <c r="J59" s="2"/>
      <c r="K59" s="2"/>
      <c r="L59" s="19"/>
    </row>
    <row r="60" customFormat="false" ht="21.75" hidden="false" customHeight="true" outlineLevel="0" collapsed="false">
      <c r="B60" s="21" t="s">
        <v>50</v>
      </c>
      <c r="C60" s="21"/>
      <c r="D60" s="21"/>
      <c r="E60" s="21"/>
      <c r="F60" s="16" t="n">
        <v>15</v>
      </c>
      <c r="H60" s="11"/>
      <c r="J60" s="2"/>
      <c r="K60" s="2"/>
      <c r="L60" s="19"/>
    </row>
    <row r="61" customFormat="false" ht="21.75" hidden="false" customHeight="true" outlineLevel="0" collapsed="false">
      <c r="B61" s="23" t="s">
        <v>51</v>
      </c>
      <c r="C61" s="23"/>
      <c r="D61" s="23"/>
      <c r="E61" s="23"/>
      <c r="F61" s="16" t="n">
        <v>16</v>
      </c>
      <c r="H61" s="11"/>
      <c r="J61" s="11"/>
      <c r="K61" s="2"/>
      <c r="L61" s="19"/>
    </row>
    <row r="62" customFormat="false" ht="21.75" hidden="false" customHeight="true" outlineLevel="0" collapsed="false">
      <c r="B62" s="23" t="s">
        <v>52</v>
      </c>
      <c r="C62" s="23"/>
      <c r="D62" s="23"/>
      <c r="E62" s="23"/>
      <c r="F62" s="11"/>
      <c r="H62" s="11"/>
      <c r="J62" s="11"/>
      <c r="K62" s="2"/>
      <c r="L62" s="19"/>
    </row>
    <row r="63" customFormat="false" ht="21.75" hidden="false" customHeight="true" outlineLevel="0" collapsed="false">
      <c r="D63" s="21" t="s">
        <v>53</v>
      </c>
      <c r="F63" s="21"/>
      <c r="G63" s="11"/>
      <c r="H63" s="11"/>
      <c r="I63" s="22" t="n">
        <f aca="false">SUM(I58:I62)</f>
        <v>0</v>
      </c>
      <c r="J63" s="16"/>
      <c r="K63" s="22" t="n">
        <f aca="false">SUM(K58:K62)</f>
        <v>0</v>
      </c>
      <c r="L63" s="19"/>
    </row>
    <row r="64" customFormat="false" ht="21.75" hidden="false" customHeight="true" outlineLevel="0" collapsed="false">
      <c r="B64" s="23" t="s">
        <v>54</v>
      </c>
      <c r="C64" s="23"/>
      <c r="D64" s="23"/>
      <c r="E64" s="23"/>
      <c r="F64" s="21"/>
      <c r="G64" s="11"/>
      <c r="H64" s="11"/>
      <c r="I64" s="22" t="n">
        <f aca="false">I56+I63</f>
        <v>0</v>
      </c>
      <c r="J64" s="16"/>
      <c r="K64" s="22" t="n">
        <f aca="false">K56+K63</f>
        <v>0</v>
      </c>
      <c r="L64" s="19"/>
    </row>
    <row r="65" customFormat="false" ht="21.75" hidden="false" customHeight="true" outlineLevel="0" collapsed="false">
      <c r="B65" s="21"/>
      <c r="C65" s="21"/>
      <c r="D65" s="21"/>
      <c r="E65" s="21"/>
      <c r="F65" s="21"/>
      <c r="G65" s="11"/>
      <c r="H65" s="11"/>
      <c r="K65" s="2"/>
    </row>
    <row r="66" customFormat="false" ht="21.75" hidden="false" customHeight="true" outlineLevel="0" collapsed="false">
      <c r="B66" s="21"/>
      <c r="C66" s="21"/>
      <c r="D66" s="21"/>
      <c r="E66" s="21"/>
      <c r="F66" s="21"/>
      <c r="G66" s="11"/>
      <c r="H66" s="11"/>
      <c r="K66" s="2"/>
    </row>
    <row r="67" customFormat="false" ht="21.75" hidden="false" customHeight="true" outlineLevel="0" collapsed="false">
      <c r="B67" s="21"/>
      <c r="C67" s="21"/>
      <c r="D67" s="21"/>
      <c r="E67" s="21"/>
      <c r="F67" s="21"/>
      <c r="G67" s="11"/>
      <c r="H67" s="11"/>
      <c r="K67" s="2"/>
    </row>
    <row r="68" customFormat="false" ht="21.75" hidden="false" customHeight="true" outlineLevel="0" collapsed="false">
      <c r="B68" s="21"/>
      <c r="C68" s="21"/>
      <c r="D68" s="21"/>
      <c r="E68" s="21"/>
      <c r="F68" s="21"/>
      <c r="G68" s="11"/>
      <c r="H68" s="11"/>
      <c r="K68" s="2"/>
    </row>
    <row r="69" customFormat="false" ht="21.75" hidden="false" customHeight="true" outlineLevel="0" collapsed="false">
      <c r="K69" s="3" t="s">
        <v>0</v>
      </c>
    </row>
    <row r="70" customFormat="false" ht="21.75" hidden="false" customHeight="true" outlineLevel="0" collapsed="false">
      <c r="K70" s="3" t="s">
        <v>1</v>
      </c>
    </row>
    <row r="71" customFormat="false" ht="21.75" hidden="false" customHeight="true" outlineLevel="0" collapsed="false">
      <c r="A71" s="4" t="s">
        <v>55</v>
      </c>
      <c r="B71" s="4"/>
      <c r="C71" s="4"/>
      <c r="D71" s="4"/>
      <c r="E71" s="4"/>
      <c r="F71" s="4"/>
      <c r="G71" s="4"/>
      <c r="H71" s="4"/>
      <c r="I71" s="4"/>
      <c r="J71" s="4"/>
      <c r="K71" s="4"/>
    </row>
    <row r="72" customFormat="false" ht="21.75" hidden="false" customHeight="true" outlineLevel="0" collapsed="false">
      <c r="A72" s="5" t="s">
        <v>3</v>
      </c>
      <c r="B72" s="5"/>
      <c r="C72" s="5"/>
      <c r="D72" s="5"/>
      <c r="E72" s="5"/>
      <c r="F72" s="5"/>
      <c r="G72" s="5"/>
      <c r="H72" s="5"/>
      <c r="I72" s="5"/>
      <c r="J72" s="5"/>
      <c r="K72" s="5"/>
    </row>
    <row r="73" customFormat="false" ht="21.75" hidden="false" customHeight="true" outlineLevel="0" collapsed="false">
      <c r="A73" s="5" t="s">
        <v>35</v>
      </c>
      <c r="B73" s="5"/>
      <c r="C73" s="5"/>
      <c r="D73" s="5"/>
      <c r="E73" s="5"/>
      <c r="F73" s="5"/>
      <c r="G73" s="5"/>
      <c r="H73" s="5"/>
      <c r="I73" s="5"/>
      <c r="J73" s="5"/>
      <c r="K73" s="5"/>
    </row>
    <row r="74" customFormat="false" ht="21.75" hidden="false" customHeight="true" outlineLevel="0" collapsed="false">
      <c r="A74" s="5" t="s">
        <v>5</v>
      </c>
      <c r="B74" s="5"/>
      <c r="C74" s="5"/>
      <c r="D74" s="5"/>
      <c r="E74" s="5"/>
      <c r="F74" s="5"/>
      <c r="G74" s="5"/>
      <c r="H74" s="5"/>
      <c r="I74" s="5"/>
      <c r="J74" s="5"/>
      <c r="K74" s="5"/>
    </row>
    <row r="75" customFormat="false" ht="1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customFormat="false" ht="21.75" hidden="false" customHeight="true" outlineLevel="0" collapsed="false">
      <c r="A76" s="7" t="s">
        <v>56</v>
      </c>
      <c r="B76" s="7"/>
      <c r="C76" s="7"/>
      <c r="D76" s="7"/>
      <c r="E76" s="7"/>
      <c r="F76" s="7"/>
      <c r="G76" s="7"/>
      <c r="H76" s="7"/>
      <c r="I76" s="7"/>
      <c r="J76" s="7"/>
      <c r="K76" s="7"/>
    </row>
    <row r="77" customFormat="false" ht="21.75" hidden="false" customHeight="true" outlineLevel="0" collapsed="false">
      <c r="A77" s="26"/>
      <c r="B77" s="26"/>
      <c r="C77" s="26"/>
      <c r="D77" s="26"/>
      <c r="E77" s="26"/>
      <c r="F77" s="26"/>
      <c r="G77" s="26"/>
      <c r="H77" s="26"/>
      <c r="I77" s="9" t="s">
        <v>7</v>
      </c>
      <c r="J77" s="9"/>
      <c r="K77" s="9"/>
    </row>
    <row r="78" customFormat="false" ht="21.75" hidden="false" customHeight="true" outlineLevel="0" collapsed="false">
      <c r="I78" s="10" t="s">
        <v>8</v>
      </c>
      <c r="J78" s="11"/>
      <c r="K78" s="10" t="s">
        <v>9</v>
      </c>
    </row>
    <row r="79" customFormat="false" ht="21.75" hidden="false" customHeight="true" outlineLevel="0" collapsed="false">
      <c r="F79" s="12" t="s">
        <v>10</v>
      </c>
      <c r="G79" s="12"/>
      <c r="H79" s="11"/>
      <c r="I79" s="13" t="s">
        <v>11</v>
      </c>
      <c r="J79" s="14"/>
      <c r="K79" s="13" t="s">
        <v>12</v>
      </c>
    </row>
    <row r="80" s="1" customFormat="true" ht="21.75" hidden="false" customHeight="true" outlineLevel="0" collapsed="false">
      <c r="A80" s="23" t="s">
        <v>57</v>
      </c>
      <c r="B80" s="23"/>
      <c r="C80" s="23"/>
      <c r="D80" s="23"/>
      <c r="E80" s="23"/>
      <c r="F80" s="21"/>
      <c r="G80" s="11"/>
      <c r="H80" s="11"/>
    </row>
    <row r="81" s="1" customFormat="true" ht="21.75" hidden="false" customHeight="true" outlineLevel="0" collapsed="false">
      <c r="B81" s="23" t="s">
        <v>58</v>
      </c>
      <c r="C81" s="23"/>
      <c r="D81" s="23"/>
      <c r="E81" s="23"/>
      <c r="F81" s="16"/>
      <c r="H81" s="11"/>
    </row>
    <row r="82" s="1" customFormat="true" ht="21.75" hidden="false" customHeight="true" outlineLevel="0" collapsed="false">
      <c r="D82" s="23" t="s">
        <v>59</v>
      </c>
      <c r="E82" s="23"/>
      <c r="F82" s="16"/>
      <c r="G82" s="11"/>
      <c r="H82" s="11"/>
    </row>
    <row r="83" customFormat="false" ht="21.75" hidden="false" customHeight="true" outlineLevel="0" collapsed="false">
      <c r="D83" s="23" t="s">
        <v>60</v>
      </c>
      <c r="E83" s="23"/>
      <c r="F83" s="23"/>
      <c r="G83" s="23"/>
      <c r="H83" s="11"/>
      <c r="I83" s="29"/>
      <c r="J83" s="16"/>
      <c r="K83" s="29"/>
    </row>
    <row r="84" customFormat="false" ht="21.75" hidden="false" customHeight="true" outlineLevel="0" collapsed="false">
      <c r="D84" s="23" t="s">
        <v>61</v>
      </c>
      <c r="E84" s="23"/>
      <c r="F84" s="21"/>
      <c r="G84" s="11"/>
      <c r="H84" s="11"/>
      <c r="K84" s="2"/>
    </row>
    <row r="85" customFormat="false" ht="21.75" hidden="false" customHeight="true" outlineLevel="0" collapsed="false">
      <c r="D85" s="23" t="s">
        <v>62</v>
      </c>
      <c r="E85" s="23"/>
      <c r="F85" s="23"/>
      <c r="G85" s="23"/>
      <c r="H85" s="11"/>
      <c r="J85" s="2"/>
      <c r="K85" s="2"/>
      <c r="L85" s="30"/>
    </row>
    <row r="86" customFormat="false" ht="21.75" hidden="false" customHeight="true" outlineLevel="0" collapsed="false">
      <c r="B86" s="1" t="s">
        <v>63</v>
      </c>
      <c r="G86" s="11"/>
      <c r="H86" s="11"/>
      <c r="J86" s="2"/>
      <c r="K86" s="2"/>
    </row>
    <row r="87" customFormat="false" ht="21.75" hidden="false" customHeight="true" outlineLevel="0" collapsed="false">
      <c r="B87" s="23" t="s">
        <v>64</v>
      </c>
      <c r="C87" s="23"/>
      <c r="D87" s="23"/>
      <c r="E87" s="23"/>
      <c r="F87" s="21"/>
      <c r="G87" s="11"/>
      <c r="H87" s="11"/>
      <c r="J87" s="2"/>
      <c r="K87" s="2"/>
    </row>
    <row r="88" customFormat="false" ht="21.75" hidden="false" customHeight="true" outlineLevel="0" collapsed="false">
      <c r="D88" s="23" t="s">
        <v>65</v>
      </c>
      <c r="E88" s="23"/>
      <c r="F88" s="16" t="n">
        <v>17</v>
      </c>
      <c r="H88" s="11"/>
      <c r="J88" s="2"/>
      <c r="K88" s="2"/>
    </row>
    <row r="89" customFormat="false" ht="21.75" hidden="false" customHeight="true" outlineLevel="0" collapsed="false">
      <c r="D89" s="23" t="s">
        <v>66</v>
      </c>
      <c r="E89" s="23"/>
      <c r="F89" s="16"/>
      <c r="H89" s="11"/>
      <c r="J89" s="11"/>
      <c r="K89" s="2"/>
    </row>
    <row r="90" customFormat="false" ht="21.75" hidden="false" customHeight="true" outlineLevel="0" collapsed="false">
      <c r="B90" s="23" t="s">
        <v>67</v>
      </c>
      <c r="C90" s="23"/>
      <c r="D90" s="23"/>
      <c r="E90" s="23"/>
      <c r="F90" s="21"/>
      <c r="G90" s="11"/>
      <c r="H90" s="11"/>
      <c r="I90" s="22" t="n">
        <f aca="false">SUM(I85:I89)</f>
        <v>0</v>
      </c>
      <c r="J90" s="16"/>
      <c r="K90" s="22" t="n">
        <f aca="false">SUM(K85:K89)</f>
        <v>0</v>
      </c>
    </row>
    <row r="91" customFormat="false" ht="21.75" hidden="false" customHeight="true" outlineLevel="0" collapsed="false">
      <c r="A91" s="23" t="s">
        <v>68</v>
      </c>
      <c r="B91" s="23"/>
      <c r="C91" s="23"/>
      <c r="D91" s="23"/>
      <c r="E91" s="23"/>
      <c r="F91" s="21"/>
      <c r="G91" s="11"/>
      <c r="H91" s="11"/>
      <c r="I91" s="29" t="n">
        <f aca="false">I90+I64</f>
        <v>0</v>
      </c>
      <c r="J91" s="16"/>
      <c r="K91" s="29" t="n">
        <f aca="false">K90+K64</f>
        <v>0</v>
      </c>
      <c r="L91" s="28"/>
    </row>
    <row r="92" customFormat="false" ht="21.75" hidden="false" customHeight="true" outlineLevel="0" collapsed="false">
      <c r="A92" s="21"/>
      <c r="B92" s="21"/>
      <c r="C92" s="21"/>
      <c r="D92" s="21"/>
      <c r="E92" s="21"/>
      <c r="F92" s="21"/>
      <c r="G92" s="11"/>
      <c r="H92" s="11"/>
      <c r="I92" s="31"/>
      <c r="J92" s="31"/>
      <c r="K92" s="31"/>
    </row>
    <row r="93" customFormat="false" ht="21.75" hidden="false" customHeight="true" outlineLevel="0" collapsed="false">
      <c r="A93" s="21"/>
      <c r="B93" s="21"/>
      <c r="C93" s="21"/>
      <c r="D93" s="21"/>
      <c r="E93" s="21"/>
      <c r="F93" s="21"/>
      <c r="G93" s="11"/>
      <c r="H93" s="11"/>
      <c r="I93" s="15"/>
      <c r="J93" s="15"/>
      <c r="K93" s="15"/>
    </row>
    <row r="94" customFormat="false" ht="24" hidden="false" customHeight="true" outlineLevel="0" collapsed="false">
      <c r="I94" s="31" t="n">
        <f aca="false">I91-I31</f>
        <v>0</v>
      </c>
      <c r="J94" s="31"/>
      <c r="K94" s="31" t="n">
        <f aca="false">K91-K31</f>
        <v>0</v>
      </c>
    </row>
    <row r="95" customFormat="false" ht="24" hidden="false" customHeight="true" outlineLevel="0" collapsed="false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</row>
    <row r="96" customFormat="false" ht="24" hidden="false" customHeight="true" outlineLevel="0" collapsed="false">
      <c r="A96" s="26"/>
      <c r="B96" s="11"/>
      <c r="C96" s="11"/>
      <c r="D96" s="11"/>
      <c r="E96" s="11"/>
      <c r="F96" s="11"/>
      <c r="G96" s="11"/>
      <c r="H96" s="11"/>
      <c r="I96" s="26"/>
      <c r="J96" s="26"/>
      <c r="K96" s="26"/>
    </row>
    <row r="97" customFormat="false" ht="24" hidden="false" customHeight="true" outlineLevel="0" collapsed="false">
      <c r="E97" s="21"/>
      <c r="F97" s="21"/>
      <c r="G97" s="26"/>
      <c r="H97" s="26"/>
      <c r="I97" s="11"/>
      <c r="J97" s="26"/>
      <c r="K97" s="26"/>
    </row>
    <row r="98" s="1" customFormat="true" ht="24" hidden="false" customHeight="true" outlineLevel="0" collapsed="false">
      <c r="G98" s="11"/>
      <c r="H98" s="11"/>
    </row>
    <row r="99" customFormat="false" ht="24" hidden="false" customHeight="true" outlineLevel="0" collapsed="false">
      <c r="I99" s="14"/>
      <c r="J99" s="11"/>
      <c r="K99" s="14"/>
    </row>
    <row r="100" customFormat="false" ht="24" hidden="false" customHeight="true" outlineLevel="0" collapsed="false">
      <c r="G100" s="11"/>
      <c r="H100" s="11"/>
      <c r="I100" s="14"/>
      <c r="J100" s="11"/>
      <c r="K100" s="14"/>
    </row>
    <row r="101" customFormat="false" ht="24" hidden="false" customHeight="true" outlineLevel="0" collapsed="false">
      <c r="G101" s="11"/>
      <c r="H101" s="11"/>
      <c r="I101" s="14"/>
      <c r="J101" s="11"/>
      <c r="K101" s="14"/>
    </row>
    <row r="102" customFormat="false" ht="24" hidden="false" customHeight="true" outlineLevel="0" collapsed="false">
      <c r="F102" s="21"/>
      <c r="G102" s="11"/>
      <c r="H102" s="11"/>
      <c r="I102" s="14"/>
      <c r="J102" s="11"/>
      <c r="K102" s="14"/>
    </row>
    <row r="103" customFormat="false" ht="24" hidden="false" customHeight="true" outlineLevel="0" collapsed="false">
      <c r="F103" s="21"/>
      <c r="G103" s="11"/>
      <c r="H103" s="11"/>
      <c r="K103" s="2"/>
    </row>
    <row r="104" customFormat="false" ht="24" hidden="false" customHeight="true" outlineLevel="0" collapsed="false">
      <c r="F104" s="21"/>
      <c r="G104" s="11"/>
      <c r="H104" s="11"/>
      <c r="K104" s="2"/>
    </row>
    <row r="105" customFormat="false" ht="24" hidden="false" customHeight="true" outlineLevel="0" collapsed="false">
      <c r="F105" s="21"/>
      <c r="G105" s="11"/>
      <c r="H105" s="11"/>
      <c r="K105" s="2"/>
    </row>
    <row r="106" customFormat="false" ht="24" hidden="false" customHeight="true" outlineLevel="0" collapsed="false">
      <c r="H106" s="11"/>
      <c r="I106" s="33"/>
      <c r="K106" s="2"/>
    </row>
    <row r="107" customFormat="false" ht="24" hidden="false" customHeight="true" outlineLevel="0" collapsed="false">
      <c r="G107" s="11"/>
      <c r="H107" s="11"/>
      <c r="I107" s="33"/>
      <c r="K107" s="33"/>
    </row>
    <row r="108" customFormat="false" ht="24" hidden="false" customHeight="true" outlineLevel="0" collapsed="false">
      <c r="F108" s="21"/>
      <c r="G108" s="11"/>
      <c r="H108" s="11"/>
      <c r="I108" s="33"/>
      <c r="K108" s="33"/>
    </row>
    <row r="109" customFormat="false" ht="24" hidden="false" customHeight="true" outlineLevel="0" collapsed="false">
      <c r="H109" s="11"/>
      <c r="I109" s="33"/>
      <c r="K109" s="33"/>
    </row>
    <row r="110" customFormat="false" ht="24" hidden="false" customHeight="true" outlineLevel="0" collapsed="false">
      <c r="G110" s="11"/>
      <c r="H110" s="11"/>
      <c r="I110" s="33"/>
      <c r="K110" s="33"/>
    </row>
    <row r="111" customFormat="false" ht="24" hidden="false" customHeight="true" outlineLevel="0" collapsed="false">
      <c r="F111" s="21"/>
      <c r="G111" s="11"/>
      <c r="H111" s="11"/>
      <c r="I111" s="33"/>
      <c r="K111" s="33"/>
    </row>
    <row r="112" customFormat="false" ht="24" hidden="false" customHeight="true" outlineLevel="0" collapsed="false">
      <c r="F112" s="21"/>
      <c r="H112" s="11"/>
      <c r="I112" s="33"/>
      <c r="K112" s="33"/>
    </row>
    <row r="113" customFormat="false" ht="24" hidden="false" customHeight="true" outlineLevel="0" collapsed="false">
      <c r="D113" s="21"/>
      <c r="E113" s="21"/>
      <c r="F113" s="21"/>
      <c r="G113" s="11"/>
      <c r="H113" s="11"/>
      <c r="I113" s="33"/>
      <c r="K113" s="33"/>
    </row>
    <row r="114" customFormat="false" ht="24" hidden="false" customHeight="true" outlineLevel="0" collapsed="false">
      <c r="F114" s="21"/>
      <c r="G114" s="11"/>
      <c r="H114" s="11"/>
      <c r="I114" s="33"/>
      <c r="K114" s="33"/>
    </row>
    <row r="115" customFormat="false" ht="24" hidden="false" customHeight="true" outlineLevel="0" collapsed="false">
      <c r="G115" s="11"/>
      <c r="H115" s="11"/>
      <c r="I115" s="33"/>
      <c r="K115" s="33"/>
    </row>
    <row r="116" customFormat="false" ht="24" hidden="false" customHeight="true" outlineLevel="0" collapsed="false">
      <c r="G116" s="11"/>
      <c r="H116" s="11"/>
      <c r="I116" s="33"/>
      <c r="K116" s="33"/>
    </row>
    <row r="117" customFormat="false" ht="24" hidden="false" customHeight="true" outlineLevel="0" collapsed="false">
      <c r="F117" s="21"/>
      <c r="G117" s="11"/>
      <c r="H117" s="11"/>
      <c r="I117" s="33"/>
      <c r="K117" s="2"/>
    </row>
    <row r="118" customFormat="false" ht="24" hidden="false" customHeight="true" outlineLevel="0" collapsed="false">
      <c r="A118" s="21"/>
      <c r="B118" s="21"/>
      <c r="C118" s="21"/>
      <c r="D118" s="21"/>
      <c r="E118" s="21"/>
      <c r="F118" s="21"/>
      <c r="G118" s="11"/>
      <c r="H118" s="11"/>
      <c r="I118" s="33"/>
      <c r="K118" s="33"/>
    </row>
    <row r="119" customFormat="false" ht="24" hidden="false" customHeight="true" outlineLevel="0" collapsed="false">
      <c r="A119" s="21"/>
      <c r="B119" s="21"/>
      <c r="C119" s="21"/>
      <c r="D119" s="21"/>
      <c r="E119" s="21"/>
      <c r="F119" s="21"/>
      <c r="G119" s="11"/>
      <c r="H119" s="11"/>
      <c r="I119" s="33"/>
    </row>
    <row r="120" customFormat="false" ht="24" hidden="false" customHeight="true" outlineLevel="0" collapsed="false">
      <c r="A120" s="21"/>
      <c r="B120" s="21"/>
      <c r="C120" s="21"/>
      <c r="D120" s="21"/>
      <c r="E120" s="21"/>
      <c r="F120" s="21"/>
      <c r="G120" s="11"/>
      <c r="H120" s="11"/>
      <c r="I120" s="33"/>
    </row>
    <row r="121" customFormat="false" ht="24" hidden="false" customHeight="true" outlineLevel="0" collapsed="false">
      <c r="A121" s="21"/>
      <c r="B121" s="21"/>
      <c r="C121" s="21"/>
      <c r="D121" s="21"/>
      <c r="E121" s="21"/>
      <c r="F121" s="21"/>
      <c r="G121" s="11"/>
      <c r="H121" s="11"/>
      <c r="I121" s="33"/>
    </row>
    <row r="122" customFormat="false" ht="24" hidden="false" customHeight="true" outlineLevel="0" collapsed="false">
      <c r="A122" s="21"/>
      <c r="B122" s="21"/>
      <c r="C122" s="21"/>
      <c r="D122" s="21"/>
      <c r="E122" s="21"/>
      <c r="F122" s="21"/>
      <c r="G122" s="11"/>
      <c r="H122" s="11"/>
      <c r="I122" s="33"/>
    </row>
    <row r="123" customFormat="false" ht="24" hidden="false" customHeight="true" outlineLevel="0" collapsed="false">
      <c r="I123" s="33"/>
    </row>
  </sheetData>
  <mergeCells count="41">
    <mergeCell ref="A3:K3"/>
    <mergeCell ref="A4:K4"/>
    <mergeCell ref="A5:K5"/>
    <mergeCell ref="A6:K6"/>
    <mergeCell ref="A8:K8"/>
    <mergeCell ref="I9:K9"/>
    <mergeCell ref="F11:G11"/>
    <mergeCell ref="B24:E24"/>
    <mergeCell ref="B28:E28"/>
    <mergeCell ref="A37:K37"/>
    <mergeCell ref="A38:K38"/>
    <mergeCell ref="A39:K39"/>
    <mergeCell ref="A40:K40"/>
    <mergeCell ref="A42:K42"/>
    <mergeCell ref="I43:K43"/>
    <mergeCell ref="F45:G45"/>
    <mergeCell ref="B55:E55"/>
    <mergeCell ref="A57:E57"/>
    <mergeCell ref="B58:E58"/>
    <mergeCell ref="B59:E59"/>
    <mergeCell ref="B61:E61"/>
    <mergeCell ref="B62:E62"/>
    <mergeCell ref="B64:E64"/>
    <mergeCell ref="A71:K71"/>
    <mergeCell ref="A72:K72"/>
    <mergeCell ref="A73:K73"/>
    <mergeCell ref="A74:K74"/>
    <mergeCell ref="A76:K76"/>
    <mergeCell ref="I77:K77"/>
    <mergeCell ref="F79:G79"/>
    <mergeCell ref="A80:E80"/>
    <mergeCell ref="B81:E81"/>
    <mergeCell ref="D82:E82"/>
    <mergeCell ref="D83:G83"/>
    <mergeCell ref="D84:E84"/>
    <mergeCell ref="D85:G85"/>
    <mergeCell ref="B87:E87"/>
    <mergeCell ref="D88:E88"/>
    <mergeCell ref="D89:E89"/>
    <mergeCell ref="B90:E90"/>
    <mergeCell ref="A91:E91"/>
  </mergeCells>
  <printOptions headings="false" gridLines="false" gridLinesSet="true" horizontalCentered="false" verticalCentered="false"/>
  <pageMargins left="0.7875" right="0.39375" top="0.511805555555556" bottom="1.18125" header="0.511811023622047" footer="1.181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&amp;L&amp;"Angsana New,Regular"&amp;16 หมายเหตุประกอบงบการเงินระหว่างกาลเป็นส่วนหนึ่งของงบการเงินระหว่างกาลนี้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R39"/>
  <sheetViews>
    <sheetView showFormulas="false" showGridLines="false" showRowColHeaders="true" showZeros="true" rightToLeft="false" tabSelected="false" showOutlineSymbols="true" defaultGridColor="true" view="pageBreakPreview" topLeftCell="A1" colorId="64" zoomScale="130" zoomScaleNormal="70" zoomScalePageLayoutView="130" workbookViewId="0">
      <selection pane="topLeft" activeCell="E1" activeCellId="0" sqref="E1"/>
    </sheetView>
  </sheetViews>
  <sheetFormatPr defaultColWidth="8.2890625" defaultRowHeight="24" zeroHeight="false" outlineLevelRow="0" outlineLevelCol="0"/>
  <cols>
    <col collapsed="false" customWidth="true" hidden="false" outlineLevel="0" max="4" min="1" style="34" width="1.42"/>
    <col collapsed="false" customWidth="true" hidden="false" outlineLevel="0" max="5" min="5" style="34" width="44"/>
    <col collapsed="false" customWidth="true" hidden="false" outlineLevel="0" max="6" min="6" style="34" width="7.86"/>
    <col collapsed="false" customWidth="true" hidden="false" outlineLevel="0" max="7" min="7" style="34" width="1.29"/>
    <col collapsed="false" customWidth="true" hidden="false" outlineLevel="0" max="8" min="8" style="34" width="0.86"/>
    <col collapsed="false" customWidth="true" hidden="false" outlineLevel="0" max="9" min="9" style="35" width="15.29"/>
    <col collapsed="false" customWidth="true" hidden="false" outlineLevel="0" max="10" min="10" style="34" width="0.86"/>
    <col collapsed="false" customWidth="true" hidden="false" outlineLevel="0" max="11" min="11" style="34" width="15.29"/>
    <col collapsed="false" customWidth="true" hidden="false" outlineLevel="0" max="12" min="12" style="34" width="13.42"/>
    <col collapsed="false" customWidth="true" hidden="false" outlineLevel="0" max="13" min="13" style="34" width="9.57"/>
    <col collapsed="false" customWidth="true" hidden="false" outlineLevel="0" max="15" min="14" style="34" width="13.42"/>
    <col collapsed="false" customWidth="true" hidden="false" outlineLevel="0" max="17" min="16" style="34" width="1.85"/>
    <col collapsed="false" customWidth="false" hidden="false" outlineLevel="0" max="256" min="18" style="34" width="8.29"/>
    <col collapsed="false" customWidth="true" hidden="false" outlineLevel="0" max="260" min="257" style="34" width="1.42"/>
    <col collapsed="false" customWidth="true" hidden="false" outlineLevel="0" max="261" min="261" style="34" width="39.14"/>
    <col collapsed="false" customWidth="true" hidden="false" outlineLevel="0" max="262" min="262" style="34" width="7.86"/>
    <col collapsed="false" customWidth="true" hidden="false" outlineLevel="0" max="263" min="263" style="34" width="1.29"/>
    <col collapsed="false" customWidth="true" hidden="false" outlineLevel="0" max="264" min="264" style="34" width="0.86"/>
    <col collapsed="false" customWidth="true" hidden="false" outlineLevel="0" max="265" min="265" style="34" width="15.14"/>
    <col collapsed="false" customWidth="true" hidden="false" outlineLevel="0" max="266" min="266" style="34" width="0.86"/>
    <col collapsed="false" customWidth="true" hidden="false" outlineLevel="0" max="267" min="267" style="34" width="15.14"/>
    <col collapsed="false" customWidth="true" hidden="false" outlineLevel="0" max="268" min="268" style="34" width="13.42"/>
    <col collapsed="false" customWidth="true" hidden="false" outlineLevel="0" max="269" min="269" style="34" width="9.57"/>
    <col collapsed="false" customWidth="true" hidden="false" outlineLevel="0" max="271" min="270" style="34" width="13.42"/>
    <col collapsed="false" customWidth="true" hidden="false" outlineLevel="0" max="273" min="272" style="34" width="1.85"/>
    <col collapsed="false" customWidth="false" hidden="false" outlineLevel="0" max="512" min="274" style="34" width="8.29"/>
    <col collapsed="false" customWidth="true" hidden="false" outlineLevel="0" max="516" min="513" style="34" width="1.42"/>
    <col collapsed="false" customWidth="true" hidden="false" outlineLevel="0" max="517" min="517" style="34" width="39.14"/>
    <col collapsed="false" customWidth="true" hidden="false" outlineLevel="0" max="518" min="518" style="34" width="7.86"/>
    <col collapsed="false" customWidth="true" hidden="false" outlineLevel="0" max="519" min="519" style="34" width="1.29"/>
    <col collapsed="false" customWidth="true" hidden="false" outlineLevel="0" max="520" min="520" style="34" width="0.86"/>
    <col collapsed="false" customWidth="true" hidden="false" outlineLevel="0" max="521" min="521" style="34" width="15.14"/>
    <col collapsed="false" customWidth="true" hidden="false" outlineLevel="0" max="522" min="522" style="34" width="0.86"/>
    <col collapsed="false" customWidth="true" hidden="false" outlineLevel="0" max="523" min="523" style="34" width="15.14"/>
    <col collapsed="false" customWidth="true" hidden="false" outlineLevel="0" max="524" min="524" style="34" width="13.42"/>
    <col collapsed="false" customWidth="true" hidden="false" outlineLevel="0" max="525" min="525" style="34" width="9.57"/>
    <col collapsed="false" customWidth="true" hidden="false" outlineLevel="0" max="527" min="526" style="34" width="13.42"/>
    <col collapsed="false" customWidth="true" hidden="false" outlineLevel="0" max="529" min="528" style="34" width="1.85"/>
    <col collapsed="false" customWidth="false" hidden="false" outlineLevel="0" max="768" min="530" style="34" width="8.29"/>
    <col collapsed="false" customWidth="true" hidden="false" outlineLevel="0" max="772" min="769" style="34" width="1.42"/>
    <col collapsed="false" customWidth="true" hidden="false" outlineLevel="0" max="773" min="773" style="34" width="39.14"/>
    <col collapsed="false" customWidth="true" hidden="false" outlineLevel="0" max="774" min="774" style="34" width="7.86"/>
    <col collapsed="false" customWidth="true" hidden="false" outlineLevel="0" max="775" min="775" style="34" width="1.29"/>
    <col collapsed="false" customWidth="true" hidden="false" outlineLevel="0" max="776" min="776" style="34" width="0.86"/>
    <col collapsed="false" customWidth="true" hidden="false" outlineLevel="0" max="777" min="777" style="34" width="15.14"/>
    <col collapsed="false" customWidth="true" hidden="false" outlineLevel="0" max="778" min="778" style="34" width="0.86"/>
    <col collapsed="false" customWidth="true" hidden="false" outlineLevel="0" max="779" min="779" style="34" width="15.14"/>
    <col collapsed="false" customWidth="true" hidden="false" outlineLevel="0" max="780" min="780" style="34" width="13.42"/>
    <col collapsed="false" customWidth="true" hidden="false" outlineLevel="0" max="781" min="781" style="34" width="9.57"/>
    <col collapsed="false" customWidth="true" hidden="false" outlineLevel="0" max="783" min="782" style="34" width="13.42"/>
    <col collapsed="false" customWidth="true" hidden="false" outlineLevel="0" max="785" min="784" style="34" width="1.85"/>
    <col collapsed="false" customWidth="false" hidden="false" outlineLevel="0" max="1024" min="786" style="34" width="8.29"/>
    <col collapsed="false" customWidth="true" hidden="false" outlineLevel="0" max="1028" min="1025" style="34" width="1.42"/>
    <col collapsed="false" customWidth="true" hidden="false" outlineLevel="0" max="1029" min="1029" style="34" width="39.14"/>
    <col collapsed="false" customWidth="true" hidden="false" outlineLevel="0" max="1030" min="1030" style="34" width="7.86"/>
    <col collapsed="false" customWidth="true" hidden="false" outlineLevel="0" max="1031" min="1031" style="34" width="1.29"/>
    <col collapsed="false" customWidth="true" hidden="false" outlineLevel="0" max="1032" min="1032" style="34" width="0.86"/>
    <col collapsed="false" customWidth="true" hidden="false" outlineLevel="0" max="1033" min="1033" style="34" width="15.14"/>
    <col collapsed="false" customWidth="true" hidden="false" outlineLevel="0" max="1034" min="1034" style="34" width="0.86"/>
    <col collapsed="false" customWidth="true" hidden="false" outlineLevel="0" max="1035" min="1035" style="34" width="15.14"/>
    <col collapsed="false" customWidth="true" hidden="false" outlineLevel="0" max="1036" min="1036" style="34" width="13.42"/>
    <col collapsed="false" customWidth="true" hidden="false" outlineLevel="0" max="1037" min="1037" style="34" width="9.57"/>
    <col collapsed="false" customWidth="true" hidden="false" outlineLevel="0" max="1039" min="1038" style="34" width="13.42"/>
    <col collapsed="false" customWidth="true" hidden="false" outlineLevel="0" max="1041" min="1040" style="34" width="1.85"/>
    <col collapsed="false" customWidth="false" hidden="false" outlineLevel="0" max="1280" min="1042" style="34" width="8.29"/>
    <col collapsed="false" customWidth="true" hidden="false" outlineLevel="0" max="1284" min="1281" style="34" width="1.42"/>
    <col collapsed="false" customWidth="true" hidden="false" outlineLevel="0" max="1285" min="1285" style="34" width="39.14"/>
    <col collapsed="false" customWidth="true" hidden="false" outlineLevel="0" max="1286" min="1286" style="34" width="7.86"/>
    <col collapsed="false" customWidth="true" hidden="false" outlineLevel="0" max="1287" min="1287" style="34" width="1.29"/>
    <col collapsed="false" customWidth="true" hidden="false" outlineLevel="0" max="1288" min="1288" style="34" width="0.86"/>
    <col collapsed="false" customWidth="true" hidden="false" outlineLevel="0" max="1289" min="1289" style="34" width="15.14"/>
    <col collapsed="false" customWidth="true" hidden="false" outlineLevel="0" max="1290" min="1290" style="34" width="0.86"/>
    <col collapsed="false" customWidth="true" hidden="false" outlineLevel="0" max="1291" min="1291" style="34" width="15.14"/>
    <col collapsed="false" customWidth="true" hidden="false" outlineLevel="0" max="1292" min="1292" style="34" width="13.42"/>
    <col collapsed="false" customWidth="true" hidden="false" outlineLevel="0" max="1293" min="1293" style="34" width="9.57"/>
    <col collapsed="false" customWidth="true" hidden="false" outlineLevel="0" max="1295" min="1294" style="34" width="13.42"/>
    <col collapsed="false" customWidth="true" hidden="false" outlineLevel="0" max="1297" min="1296" style="34" width="1.85"/>
    <col collapsed="false" customWidth="false" hidden="false" outlineLevel="0" max="1536" min="1298" style="34" width="8.29"/>
    <col collapsed="false" customWidth="true" hidden="false" outlineLevel="0" max="1540" min="1537" style="34" width="1.42"/>
    <col collapsed="false" customWidth="true" hidden="false" outlineLevel="0" max="1541" min="1541" style="34" width="39.14"/>
    <col collapsed="false" customWidth="true" hidden="false" outlineLevel="0" max="1542" min="1542" style="34" width="7.86"/>
    <col collapsed="false" customWidth="true" hidden="false" outlineLevel="0" max="1543" min="1543" style="34" width="1.29"/>
    <col collapsed="false" customWidth="true" hidden="false" outlineLevel="0" max="1544" min="1544" style="34" width="0.86"/>
    <col collapsed="false" customWidth="true" hidden="false" outlineLevel="0" max="1545" min="1545" style="34" width="15.14"/>
    <col collapsed="false" customWidth="true" hidden="false" outlineLevel="0" max="1546" min="1546" style="34" width="0.86"/>
    <col collapsed="false" customWidth="true" hidden="false" outlineLevel="0" max="1547" min="1547" style="34" width="15.14"/>
    <col collapsed="false" customWidth="true" hidden="false" outlineLevel="0" max="1548" min="1548" style="34" width="13.42"/>
    <col collapsed="false" customWidth="true" hidden="false" outlineLevel="0" max="1549" min="1549" style="34" width="9.57"/>
    <col collapsed="false" customWidth="true" hidden="false" outlineLevel="0" max="1551" min="1550" style="34" width="13.42"/>
    <col collapsed="false" customWidth="true" hidden="false" outlineLevel="0" max="1553" min="1552" style="34" width="1.85"/>
    <col collapsed="false" customWidth="false" hidden="false" outlineLevel="0" max="1792" min="1554" style="34" width="8.29"/>
    <col collapsed="false" customWidth="true" hidden="false" outlineLevel="0" max="1796" min="1793" style="34" width="1.42"/>
    <col collapsed="false" customWidth="true" hidden="false" outlineLevel="0" max="1797" min="1797" style="34" width="39.14"/>
    <col collapsed="false" customWidth="true" hidden="false" outlineLevel="0" max="1798" min="1798" style="34" width="7.86"/>
    <col collapsed="false" customWidth="true" hidden="false" outlineLevel="0" max="1799" min="1799" style="34" width="1.29"/>
    <col collapsed="false" customWidth="true" hidden="false" outlineLevel="0" max="1800" min="1800" style="34" width="0.86"/>
    <col collapsed="false" customWidth="true" hidden="false" outlineLevel="0" max="1801" min="1801" style="34" width="15.14"/>
    <col collapsed="false" customWidth="true" hidden="false" outlineLevel="0" max="1802" min="1802" style="34" width="0.86"/>
    <col collapsed="false" customWidth="true" hidden="false" outlineLevel="0" max="1803" min="1803" style="34" width="15.14"/>
    <col collapsed="false" customWidth="true" hidden="false" outlineLevel="0" max="1804" min="1804" style="34" width="13.42"/>
    <col collapsed="false" customWidth="true" hidden="false" outlineLevel="0" max="1805" min="1805" style="34" width="9.57"/>
    <col collapsed="false" customWidth="true" hidden="false" outlineLevel="0" max="1807" min="1806" style="34" width="13.42"/>
    <col collapsed="false" customWidth="true" hidden="false" outlineLevel="0" max="1809" min="1808" style="34" width="1.85"/>
    <col collapsed="false" customWidth="false" hidden="false" outlineLevel="0" max="2048" min="1810" style="34" width="8.29"/>
    <col collapsed="false" customWidth="true" hidden="false" outlineLevel="0" max="2052" min="2049" style="34" width="1.42"/>
    <col collapsed="false" customWidth="true" hidden="false" outlineLevel="0" max="2053" min="2053" style="34" width="39.14"/>
    <col collapsed="false" customWidth="true" hidden="false" outlineLevel="0" max="2054" min="2054" style="34" width="7.86"/>
    <col collapsed="false" customWidth="true" hidden="false" outlineLevel="0" max="2055" min="2055" style="34" width="1.29"/>
    <col collapsed="false" customWidth="true" hidden="false" outlineLevel="0" max="2056" min="2056" style="34" width="0.86"/>
    <col collapsed="false" customWidth="true" hidden="false" outlineLevel="0" max="2057" min="2057" style="34" width="15.14"/>
    <col collapsed="false" customWidth="true" hidden="false" outlineLevel="0" max="2058" min="2058" style="34" width="0.86"/>
    <col collapsed="false" customWidth="true" hidden="false" outlineLevel="0" max="2059" min="2059" style="34" width="15.14"/>
    <col collapsed="false" customWidth="true" hidden="false" outlineLevel="0" max="2060" min="2060" style="34" width="13.42"/>
    <col collapsed="false" customWidth="true" hidden="false" outlineLevel="0" max="2061" min="2061" style="34" width="9.57"/>
    <col collapsed="false" customWidth="true" hidden="false" outlineLevel="0" max="2063" min="2062" style="34" width="13.42"/>
    <col collapsed="false" customWidth="true" hidden="false" outlineLevel="0" max="2065" min="2064" style="34" width="1.85"/>
    <col collapsed="false" customWidth="false" hidden="false" outlineLevel="0" max="2304" min="2066" style="34" width="8.29"/>
    <col collapsed="false" customWidth="true" hidden="false" outlineLevel="0" max="2308" min="2305" style="34" width="1.42"/>
    <col collapsed="false" customWidth="true" hidden="false" outlineLevel="0" max="2309" min="2309" style="34" width="39.14"/>
    <col collapsed="false" customWidth="true" hidden="false" outlineLevel="0" max="2310" min="2310" style="34" width="7.86"/>
    <col collapsed="false" customWidth="true" hidden="false" outlineLevel="0" max="2311" min="2311" style="34" width="1.29"/>
    <col collapsed="false" customWidth="true" hidden="false" outlineLevel="0" max="2312" min="2312" style="34" width="0.86"/>
    <col collapsed="false" customWidth="true" hidden="false" outlineLevel="0" max="2313" min="2313" style="34" width="15.14"/>
    <col collapsed="false" customWidth="true" hidden="false" outlineLevel="0" max="2314" min="2314" style="34" width="0.86"/>
    <col collapsed="false" customWidth="true" hidden="false" outlineLevel="0" max="2315" min="2315" style="34" width="15.14"/>
    <col collapsed="false" customWidth="true" hidden="false" outlineLevel="0" max="2316" min="2316" style="34" width="13.42"/>
    <col collapsed="false" customWidth="true" hidden="false" outlineLevel="0" max="2317" min="2317" style="34" width="9.57"/>
    <col collapsed="false" customWidth="true" hidden="false" outlineLevel="0" max="2319" min="2318" style="34" width="13.42"/>
    <col collapsed="false" customWidth="true" hidden="false" outlineLevel="0" max="2321" min="2320" style="34" width="1.85"/>
    <col collapsed="false" customWidth="false" hidden="false" outlineLevel="0" max="2560" min="2322" style="34" width="8.29"/>
    <col collapsed="false" customWidth="true" hidden="false" outlineLevel="0" max="2564" min="2561" style="34" width="1.42"/>
    <col collapsed="false" customWidth="true" hidden="false" outlineLevel="0" max="2565" min="2565" style="34" width="39.14"/>
    <col collapsed="false" customWidth="true" hidden="false" outlineLevel="0" max="2566" min="2566" style="34" width="7.86"/>
    <col collapsed="false" customWidth="true" hidden="false" outlineLevel="0" max="2567" min="2567" style="34" width="1.29"/>
    <col collapsed="false" customWidth="true" hidden="false" outlineLevel="0" max="2568" min="2568" style="34" width="0.86"/>
    <col collapsed="false" customWidth="true" hidden="false" outlineLevel="0" max="2569" min="2569" style="34" width="15.14"/>
    <col collapsed="false" customWidth="true" hidden="false" outlineLevel="0" max="2570" min="2570" style="34" width="0.86"/>
    <col collapsed="false" customWidth="true" hidden="false" outlineLevel="0" max="2571" min="2571" style="34" width="15.14"/>
    <col collapsed="false" customWidth="true" hidden="false" outlineLevel="0" max="2572" min="2572" style="34" width="13.42"/>
    <col collapsed="false" customWidth="true" hidden="false" outlineLevel="0" max="2573" min="2573" style="34" width="9.57"/>
    <col collapsed="false" customWidth="true" hidden="false" outlineLevel="0" max="2575" min="2574" style="34" width="13.42"/>
    <col collapsed="false" customWidth="true" hidden="false" outlineLevel="0" max="2577" min="2576" style="34" width="1.85"/>
    <col collapsed="false" customWidth="false" hidden="false" outlineLevel="0" max="2816" min="2578" style="34" width="8.29"/>
    <col collapsed="false" customWidth="true" hidden="false" outlineLevel="0" max="2820" min="2817" style="34" width="1.42"/>
    <col collapsed="false" customWidth="true" hidden="false" outlineLevel="0" max="2821" min="2821" style="34" width="39.14"/>
    <col collapsed="false" customWidth="true" hidden="false" outlineLevel="0" max="2822" min="2822" style="34" width="7.86"/>
    <col collapsed="false" customWidth="true" hidden="false" outlineLevel="0" max="2823" min="2823" style="34" width="1.29"/>
    <col collapsed="false" customWidth="true" hidden="false" outlineLevel="0" max="2824" min="2824" style="34" width="0.86"/>
    <col collapsed="false" customWidth="true" hidden="false" outlineLevel="0" max="2825" min="2825" style="34" width="15.14"/>
    <col collapsed="false" customWidth="true" hidden="false" outlineLevel="0" max="2826" min="2826" style="34" width="0.86"/>
    <col collapsed="false" customWidth="true" hidden="false" outlineLevel="0" max="2827" min="2827" style="34" width="15.14"/>
    <col collapsed="false" customWidth="true" hidden="false" outlineLevel="0" max="2828" min="2828" style="34" width="13.42"/>
    <col collapsed="false" customWidth="true" hidden="false" outlineLevel="0" max="2829" min="2829" style="34" width="9.57"/>
    <col collapsed="false" customWidth="true" hidden="false" outlineLevel="0" max="2831" min="2830" style="34" width="13.42"/>
    <col collapsed="false" customWidth="true" hidden="false" outlineLevel="0" max="2833" min="2832" style="34" width="1.85"/>
    <col collapsed="false" customWidth="false" hidden="false" outlineLevel="0" max="3072" min="2834" style="34" width="8.29"/>
    <col collapsed="false" customWidth="true" hidden="false" outlineLevel="0" max="3076" min="3073" style="34" width="1.42"/>
    <col collapsed="false" customWidth="true" hidden="false" outlineLevel="0" max="3077" min="3077" style="34" width="39.14"/>
    <col collapsed="false" customWidth="true" hidden="false" outlineLevel="0" max="3078" min="3078" style="34" width="7.86"/>
    <col collapsed="false" customWidth="true" hidden="false" outlineLevel="0" max="3079" min="3079" style="34" width="1.29"/>
    <col collapsed="false" customWidth="true" hidden="false" outlineLevel="0" max="3080" min="3080" style="34" width="0.86"/>
    <col collapsed="false" customWidth="true" hidden="false" outlineLevel="0" max="3081" min="3081" style="34" width="15.14"/>
    <col collapsed="false" customWidth="true" hidden="false" outlineLevel="0" max="3082" min="3082" style="34" width="0.86"/>
    <col collapsed="false" customWidth="true" hidden="false" outlineLevel="0" max="3083" min="3083" style="34" width="15.14"/>
    <col collapsed="false" customWidth="true" hidden="false" outlineLevel="0" max="3084" min="3084" style="34" width="13.42"/>
    <col collapsed="false" customWidth="true" hidden="false" outlineLevel="0" max="3085" min="3085" style="34" width="9.57"/>
    <col collapsed="false" customWidth="true" hidden="false" outlineLevel="0" max="3087" min="3086" style="34" width="13.42"/>
    <col collapsed="false" customWidth="true" hidden="false" outlineLevel="0" max="3089" min="3088" style="34" width="1.85"/>
    <col collapsed="false" customWidth="false" hidden="false" outlineLevel="0" max="3328" min="3090" style="34" width="8.29"/>
    <col collapsed="false" customWidth="true" hidden="false" outlineLevel="0" max="3332" min="3329" style="34" width="1.42"/>
    <col collapsed="false" customWidth="true" hidden="false" outlineLevel="0" max="3333" min="3333" style="34" width="39.14"/>
    <col collapsed="false" customWidth="true" hidden="false" outlineLevel="0" max="3334" min="3334" style="34" width="7.86"/>
    <col collapsed="false" customWidth="true" hidden="false" outlineLevel="0" max="3335" min="3335" style="34" width="1.29"/>
    <col collapsed="false" customWidth="true" hidden="false" outlineLevel="0" max="3336" min="3336" style="34" width="0.86"/>
    <col collapsed="false" customWidth="true" hidden="false" outlineLevel="0" max="3337" min="3337" style="34" width="15.14"/>
    <col collapsed="false" customWidth="true" hidden="false" outlineLevel="0" max="3338" min="3338" style="34" width="0.86"/>
    <col collapsed="false" customWidth="true" hidden="false" outlineLevel="0" max="3339" min="3339" style="34" width="15.14"/>
    <col collapsed="false" customWidth="true" hidden="false" outlineLevel="0" max="3340" min="3340" style="34" width="13.42"/>
    <col collapsed="false" customWidth="true" hidden="false" outlineLevel="0" max="3341" min="3341" style="34" width="9.57"/>
    <col collapsed="false" customWidth="true" hidden="false" outlineLevel="0" max="3343" min="3342" style="34" width="13.42"/>
    <col collapsed="false" customWidth="true" hidden="false" outlineLevel="0" max="3345" min="3344" style="34" width="1.85"/>
    <col collapsed="false" customWidth="false" hidden="false" outlineLevel="0" max="3584" min="3346" style="34" width="8.29"/>
    <col collapsed="false" customWidth="true" hidden="false" outlineLevel="0" max="3588" min="3585" style="34" width="1.42"/>
    <col collapsed="false" customWidth="true" hidden="false" outlineLevel="0" max="3589" min="3589" style="34" width="39.14"/>
    <col collapsed="false" customWidth="true" hidden="false" outlineLevel="0" max="3590" min="3590" style="34" width="7.86"/>
    <col collapsed="false" customWidth="true" hidden="false" outlineLevel="0" max="3591" min="3591" style="34" width="1.29"/>
    <col collapsed="false" customWidth="true" hidden="false" outlineLevel="0" max="3592" min="3592" style="34" width="0.86"/>
    <col collapsed="false" customWidth="true" hidden="false" outlineLevel="0" max="3593" min="3593" style="34" width="15.14"/>
    <col collapsed="false" customWidth="true" hidden="false" outlineLevel="0" max="3594" min="3594" style="34" width="0.86"/>
    <col collapsed="false" customWidth="true" hidden="false" outlineLevel="0" max="3595" min="3595" style="34" width="15.14"/>
    <col collapsed="false" customWidth="true" hidden="false" outlineLevel="0" max="3596" min="3596" style="34" width="13.42"/>
    <col collapsed="false" customWidth="true" hidden="false" outlineLevel="0" max="3597" min="3597" style="34" width="9.57"/>
    <col collapsed="false" customWidth="true" hidden="false" outlineLevel="0" max="3599" min="3598" style="34" width="13.42"/>
    <col collapsed="false" customWidth="true" hidden="false" outlineLevel="0" max="3601" min="3600" style="34" width="1.85"/>
    <col collapsed="false" customWidth="false" hidden="false" outlineLevel="0" max="3840" min="3602" style="34" width="8.29"/>
    <col collapsed="false" customWidth="true" hidden="false" outlineLevel="0" max="3844" min="3841" style="34" width="1.42"/>
    <col collapsed="false" customWidth="true" hidden="false" outlineLevel="0" max="3845" min="3845" style="34" width="39.14"/>
    <col collapsed="false" customWidth="true" hidden="false" outlineLevel="0" max="3846" min="3846" style="34" width="7.86"/>
    <col collapsed="false" customWidth="true" hidden="false" outlineLevel="0" max="3847" min="3847" style="34" width="1.29"/>
    <col collapsed="false" customWidth="true" hidden="false" outlineLevel="0" max="3848" min="3848" style="34" width="0.86"/>
    <col collapsed="false" customWidth="true" hidden="false" outlineLevel="0" max="3849" min="3849" style="34" width="15.14"/>
    <col collapsed="false" customWidth="true" hidden="false" outlineLevel="0" max="3850" min="3850" style="34" width="0.86"/>
    <col collapsed="false" customWidth="true" hidden="false" outlineLevel="0" max="3851" min="3851" style="34" width="15.14"/>
    <col collapsed="false" customWidth="true" hidden="false" outlineLevel="0" max="3852" min="3852" style="34" width="13.42"/>
    <col collapsed="false" customWidth="true" hidden="false" outlineLevel="0" max="3853" min="3853" style="34" width="9.57"/>
    <col collapsed="false" customWidth="true" hidden="false" outlineLevel="0" max="3855" min="3854" style="34" width="13.42"/>
    <col collapsed="false" customWidth="true" hidden="false" outlineLevel="0" max="3857" min="3856" style="34" width="1.85"/>
    <col collapsed="false" customWidth="false" hidden="false" outlineLevel="0" max="4096" min="3858" style="34" width="8.29"/>
    <col collapsed="false" customWidth="true" hidden="false" outlineLevel="0" max="4100" min="4097" style="34" width="1.42"/>
    <col collapsed="false" customWidth="true" hidden="false" outlineLevel="0" max="4101" min="4101" style="34" width="39.14"/>
    <col collapsed="false" customWidth="true" hidden="false" outlineLevel="0" max="4102" min="4102" style="34" width="7.86"/>
    <col collapsed="false" customWidth="true" hidden="false" outlineLevel="0" max="4103" min="4103" style="34" width="1.29"/>
    <col collapsed="false" customWidth="true" hidden="false" outlineLevel="0" max="4104" min="4104" style="34" width="0.86"/>
    <col collapsed="false" customWidth="true" hidden="false" outlineLevel="0" max="4105" min="4105" style="34" width="15.14"/>
    <col collapsed="false" customWidth="true" hidden="false" outlineLevel="0" max="4106" min="4106" style="34" width="0.86"/>
    <col collapsed="false" customWidth="true" hidden="false" outlineLevel="0" max="4107" min="4107" style="34" width="15.14"/>
    <col collapsed="false" customWidth="true" hidden="false" outlineLevel="0" max="4108" min="4108" style="34" width="13.42"/>
    <col collapsed="false" customWidth="true" hidden="false" outlineLevel="0" max="4109" min="4109" style="34" width="9.57"/>
    <col collapsed="false" customWidth="true" hidden="false" outlineLevel="0" max="4111" min="4110" style="34" width="13.42"/>
    <col collapsed="false" customWidth="true" hidden="false" outlineLevel="0" max="4113" min="4112" style="34" width="1.85"/>
    <col collapsed="false" customWidth="false" hidden="false" outlineLevel="0" max="4352" min="4114" style="34" width="8.29"/>
    <col collapsed="false" customWidth="true" hidden="false" outlineLevel="0" max="4356" min="4353" style="34" width="1.42"/>
    <col collapsed="false" customWidth="true" hidden="false" outlineLevel="0" max="4357" min="4357" style="34" width="39.14"/>
    <col collapsed="false" customWidth="true" hidden="false" outlineLevel="0" max="4358" min="4358" style="34" width="7.86"/>
    <col collapsed="false" customWidth="true" hidden="false" outlineLevel="0" max="4359" min="4359" style="34" width="1.29"/>
    <col collapsed="false" customWidth="true" hidden="false" outlineLevel="0" max="4360" min="4360" style="34" width="0.86"/>
    <col collapsed="false" customWidth="true" hidden="false" outlineLevel="0" max="4361" min="4361" style="34" width="15.14"/>
    <col collapsed="false" customWidth="true" hidden="false" outlineLevel="0" max="4362" min="4362" style="34" width="0.86"/>
    <col collapsed="false" customWidth="true" hidden="false" outlineLevel="0" max="4363" min="4363" style="34" width="15.14"/>
    <col collapsed="false" customWidth="true" hidden="false" outlineLevel="0" max="4364" min="4364" style="34" width="13.42"/>
    <col collapsed="false" customWidth="true" hidden="false" outlineLevel="0" max="4365" min="4365" style="34" width="9.57"/>
    <col collapsed="false" customWidth="true" hidden="false" outlineLevel="0" max="4367" min="4366" style="34" width="13.42"/>
    <col collapsed="false" customWidth="true" hidden="false" outlineLevel="0" max="4369" min="4368" style="34" width="1.85"/>
    <col collapsed="false" customWidth="false" hidden="false" outlineLevel="0" max="4608" min="4370" style="34" width="8.29"/>
    <col collapsed="false" customWidth="true" hidden="false" outlineLevel="0" max="4612" min="4609" style="34" width="1.42"/>
    <col collapsed="false" customWidth="true" hidden="false" outlineLevel="0" max="4613" min="4613" style="34" width="39.14"/>
    <col collapsed="false" customWidth="true" hidden="false" outlineLevel="0" max="4614" min="4614" style="34" width="7.86"/>
    <col collapsed="false" customWidth="true" hidden="false" outlineLevel="0" max="4615" min="4615" style="34" width="1.29"/>
    <col collapsed="false" customWidth="true" hidden="false" outlineLevel="0" max="4616" min="4616" style="34" width="0.86"/>
    <col collapsed="false" customWidth="true" hidden="false" outlineLevel="0" max="4617" min="4617" style="34" width="15.14"/>
    <col collapsed="false" customWidth="true" hidden="false" outlineLevel="0" max="4618" min="4618" style="34" width="0.86"/>
    <col collapsed="false" customWidth="true" hidden="false" outlineLevel="0" max="4619" min="4619" style="34" width="15.14"/>
    <col collapsed="false" customWidth="true" hidden="false" outlineLevel="0" max="4620" min="4620" style="34" width="13.42"/>
    <col collapsed="false" customWidth="true" hidden="false" outlineLevel="0" max="4621" min="4621" style="34" width="9.57"/>
    <col collapsed="false" customWidth="true" hidden="false" outlineLevel="0" max="4623" min="4622" style="34" width="13.42"/>
    <col collapsed="false" customWidth="true" hidden="false" outlineLevel="0" max="4625" min="4624" style="34" width="1.85"/>
    <col collapsed="false" customWidth="false" hidden="false" outlineLevel="0" max="4864" min="4626" style="34" width="8.29"/>
    <col collapsed="false" customWidth="true" hidden="false" outlineLevel="0" max="4868" min="4865" style="34" width="1.42"/>
    <col collapsed="false" customWidth="true" hidden="false" outlineLevel="0" max="4869" min="4869" style="34" width="39.14"/>
    <col collapsed="false" customWidth="true" hidden="false" outlineLevel="0" max="4870" min="4870" style="34" width="7.86"/>
    <col collapsed="false" customWidth="true" hidden="false" outlineLevel="0" max="4871" min="4871" style="34" width="1.29"/>
    <col collapsed="false" customWidth="true" hidden="false" outlineLevel="0" max="4872" min="4872" style="34" width="0.86"/>
    <col collapsed="false" customWidth="true" hidden="false" outlineLevel="0" max="4873" min="4873" style="34" width="15.14"/>
    <col collapsed="false" customWidth="true" hidden="false" outlineLevel="0" max="4874" min="4874" style="34" width="0.86"/>
    <col collapsed="false" customWidth="true" hidden="false" outlineLevel="0" max="4875" min="4875" style="34" width="15.14"/>
    <col collapsed="false" customWidth="true" hidden="false" outlineLevel="0" max="4876" min="4876" style="34" width="13.42"/>
    <col collapsed="false" customWidth="true" hidden="false" outlineLevel="0" max="4877" min="4877" style="34" width="9.57"/>
    <col collapsed="false" customWidth="true" hidden="false" outlineLevel="0" max="4879" min="4878" style="34" width="13.42"/>
    <col collapsed="false" customWidth="true" hidden="false" outlineLevel="0" max="4881" min="4880" style="34" width="1.85"/>
    <col collapsed="false" customWidth="false" hidden="false" outlineLevel="0" max="5120" min="4882" style="34" width="8.29"/>
    <col collapsed="false" customWidth="true" hidden="false" outlineLevel="0" max="5124" min="5121" style="34" width="1.42"/>
    <col collapsed="false" customWidth="true" hidden="false" outlineLevel="0" max="5125" min="5125" style="34" width="39.14"/>
    <col collapsed="false" customWidth="true" hidden="false" outlineLevel="0" max="5126" min="5126" style="34" width="7.86"/>
    <col collapsed="false" customWidth="true" hidden="false" outlineLevel="0" max="5127" min="5127" style="34" width="1.29"/>
    <col collapsed="false" customWidth="true" hidden="false" outlineLevel="0" max="5128" min="5128" style="34" width="0.86"/>
    <col collapsed="false" customWidth="true" hidden="false" outlineLevel="0" max="5129" min="5129" style="34" width="15.14"/>
    <col collapsed="false" customWidth="true" hidden="false" outlineLevel="0" max="5130" min="5130" style="34" width="0.86"/>
    <col collapsed="false" customWidth="true" hidden="false" outlineLevel="0" max="5131" min="5131" style="34" width="15.14"/>
    <col collapsed="false" customWidth="true" hidden="false" outlineLevel="0" max="5132" min="5132" style="34" width="13.42"/>
    <col collapsed="false" customWidth="true" hidden="false" outlineLevel="0" max="5133" min="5133" style="34" width="9.57"/>
    <col collapsed="false" customWidth="true" hidden="false" outlineLevel="0" max="5135" min="5134" style="34" width="13.42"/>
    <col collapsed="false" customWidth="true" hidden="false" outlineLevel="0" max="5137" min="5136" style="34" width="1.85"/>
    <col collapsed="false" customWidth="false" hidden="false" outlineLevel="0" max="5376" min="5138" style="34" width="8.29"/>
    <col collapsed="false" customWidth="true" hidden="false" outlineLevel="0" max="5380" min="5377" style="34" width="1.42"/>
    <col collapsed="false" customWidth="true" hidden="false" outlineLevel="0" max="5381" min="5381" style="34" width="39.14"/>
    <col collapsed="false" customWidth="true" hidden="false" outlineLevel="0" max="5382" min="5382" style="34" width="7.86"/>
    <col collapsed="false" customWidth="true" hidden="false" outlineLevel="0" max="5383" min="5383" style="34" width="1.29"/>
    <col collapsed="false" customWidth="true" hidden="false" outlineLevel="0" max="5384" min="5384" style="34" width="0.86"/>
    <col collapsed="false" customWidth="true" hidden="false" outlineLevel="0" max="5385" min="5385" style="34" width="15.14"/>
    <col collapsed="false" customWidth="true" hidden="false" outlineLevel="0" max="5386" min="5386" style="34" width="0.86"/>
    <col collapsed="false" customWidth="true" hidden="false" outlineLevel="0" max="5387" min="5387" style="34" width="15.14"/>
    <col collapsed="false" customWidth="true" hidden="false" outlineLevel="0" max="5388" min="5388" style="34" width="13.42"/>
    <col collapsed="false" customWidth="true" hidden="false" outlineLevel="0" max="5389" min="5389" style="34" width="9.57"/>
    <col collapsed="false" customWidth="true" hidden="false" outlineLevel="0" max="5391" min="5390" style="34" width="13.42"/>
    <col collapsed="false" customWidth="true" hidden="false" outlineLevel="0" max="5393" min="5392" style="34" width="1.85"/>
    <col collapsed="false" customWidth="false" hidden="false" outlineLevel="0" max="5632" min="5394" style="34" width="8.29"/>
    <col collapsed="false" customWidth="true" hidden="false" outlineLevel="0" max="5636" min="5633" style="34" width="1.42"/>
    <col collapsed="false" customWidth="true" hidden="false" outlineLevel="0" max="5637" min="5637" style="34" width="39.14"/>
    <col collapsed="false" customWidth="true" hidden="false" outlineLevel="0" max="5638" min="5638" style="34" width="7.86"/>
    <col collapsed="false" customWidth="true" hidden="false" outlineLevel="0" max="5639" min="5639" style="34" width="1.29"/>
    <col collapsed="false" customWidth="true" hidden="false" outlineLevel="0" max="5640" min="5640" style="34" width="0.86"/>
    <col collapsed="false" customWidth="true" hidden="false" outlineLevel="0" max="5641" min="5641" style="34" width="15.14"/>
    <col collapsed="false" customWidth="true" hidden="false" outlineLevel="0" max="5642" min="5642" style="34" width="0.86"/>
    <col collapsed="false" customWidth="true" hidden="false" outlineLevel="0" max="5643" min="5643" style="34" width="15.14"/>
    <col collapsed="false" customWidth="true" hidden="false" outlineLevel="0" max="5644" min="5644" style="34" width="13.42"/>
    <col collapsed="false" customWidth="true" hidden="false" outlineLevel="0" max="5645" min="5645" style="34" width="9.57"/>
    <col collapsed="false" customWidth="true" hidden="false" outlineLevel="0" max="5647" min="5646" style="34" width="13.42"/>
    <col collapsed="false" customWidth="true" hidden="false" outlineLevel="0" max="5649" min="5648" style="34" width="1.85"/>
    <col collapsed="false" customWidth="false" hidden="false" outlineLevel="0" max="5888" min="5650" style="34" width="8.29"/>
    <col collapsed="false" customWidth="true" hidden="false" outlineLevel="0" max="5892" min="5889" style="34" width="1.42"/>
    <col collapsed="false" customWidth="true" hidden="false" outlineLevel="0" max="5893" min="5893" style="34" width="39.14"/>
    <col collapsed="false" customWidth="true" hidden="false" outlineLevel="0" max="5894" min="5894" style="34" width="7.86"/>
    <col collapsed="false" customWidth="true" hidden="false" outlineLevel="0" max="5895" min="5895" style="34" width="1.29"/>
    <col collapsed="false" customWidth="true" hidden="false" outlineLevel="0" max="5896" min="5896" style="34" width="0.86"/>
    <col collapsed="false" customWidth="true" hidden="false" outlineLevel="0" max="5897" min="5897" style="34" width="15.14"/>
    <col collapsed="false" customWidth="true" hidden="false" outlineLevel="0" max="5898" min="5898" style="34" width="0.86"/>
    <col collapsed="false" customWidth="true" hidden="false" outlineLevel="0" max="5899" min="5899" style="34" width="15.14"/>
    <col collapsed="false" customWidth="true" hidden="false" outlineLevel="0" max="5900" min="5900" style="34" width="13.42"/>
    <col collapsed="false" customWidth="true" hidden="false" outlineLevel="0" max="5901" min="5901" style="34" width="9.57"/>
    <col collapsed="false" customWidth="true" hidden="false" outlineLevel="0" max="5903" min="5902" style="34" width="13.42"/>
    <col collapsed="false" customWidth="true" hidden="false" outlineLevel="0" max="5905" min="5904" style="34" width="1.85"/>
    <col collapsed="false" customWidth="false" hidden="false" outlineLevel="0" max="6144" min="5906" style="34" width="8.29"/>
    <col collapsed="false" customWidth="true" hidden="false" outlineLevel="0" max="6148" min="6145" style="34" width="1.42"/>
    <col collapsed="false" customWidth="true" hidden="false" outlineLevel="0" max="6149" min="6149" style="34" width="39.14"/>
    <col collapsed="false" customWidth="true" hidden="false" outlineLevel="0" max="6150" min="6150" style="34" width="7.86"/>
    <col collapsed="false" customWidth="true" hidden="false" outlineLevel="0" max="6151" min="6151" style="34" width="1.29"/>
    <col collapsed="false" customWidth="true" hidden="false" outlineLevel="0" max="6152" min="6152" style="34" width="0.86"/>
    <col collapsed="false" customWidth="true" hidden="false" outlineLevel="0" max="6153" min="6153" style="34" width="15.14"/>
    <col collapsed="false" customWidth="true" hidden="false" outlineLevel="0" max="6154" min="6154" style="34" width="0.86"/>
    <col collapsed="false" customWidth="true" hidden="false" outlineLevel="0" max="6155" min="6155" style="34" width="15.14"/>
    <col collapsed="false" customWidth="true" hidden="false" outlineLevel="0" max="6156" min="6156" style="34" width="13.42"/>
    <col collapsed="false" customWidth="true" hidden="false" outlineLevel="0" max="6157" min="6157" style="34" width="9.57"/>
    <col collapsed="false" customWidth="true" hidden="false" outlineLevel="0" max="6159" min="6158" style="34" width="13.42"/>
    <col collapsed="false" customWidth="true" hidden="false" outlineLevel="0" max="6161" min="6160" style="34" width="1.85"/>
    <col collapsed="false" customWidth="false" hidden="false" outlineLevel="0" max="6400" min="6162" style="34" width="8.29"/>
    <col collapsed="false" customWidth="true" hidden="false" outlineLevel="0" max="6404" min="6401" style="34" width="1.42"/>
    <col collapsed="false" customWidth="true" hidden="false" outlineLevel="0" max="6405" min="6405" style="34" width="39.14"/>
    <col collapsed="false" customWidth="true" hidden="false" outlineLevel="0" max="6406" min="6406" style="34" width="7.86"/>
    <col collapsed="false" customWidth="true" hidden="false" outlineLevel="0" max="6407" min="6407" style="34" width="1.29"/>
    <col collapsed="false" customWidth="true" hidden="false" outlineLevel="0" max="6408" min="6408" style="34" width="0.86"/>
    <col collapsed="false" customWidth="true" hidden="false" outlineLevel="0" max="6409" min="6409" style="34" width="15.14"/>
    <col collapsed="false" customWidth="true" hidden="false" outlineLevel="0" max="6410" min="6410" style="34" width="0.86"/>
    <col collapsed="false" customWidth="true" hidden="false" outlineLevel="0" max="6411" min="6411" style="34" width="15.14"/>
    <col collapsed="false" customWidth="true" hidden="false" outlineLevel="0" max="6412" min="6412" style="34" width="13.42"/>
    <col collapsed="false" customWidth="true" hidden="false" outlineLevel="0" max="6413" min="6413" style="34" width="9.57"/>
    <col collapsed="false" customWidth="true" hidden="false" outlineLevel="0" max="6415" min="6414" style="34" width="13.42"/>
    <col collapsed="false" customWidth="true" hidden="false" outlineLevel="0" max="6417" min="6416" style="34" width="1.85"/>
    <col collapsed="false" customWidth="false" hidden="false" outlineLevel="0" max="6656" min="6418" style="34" width="8.29"/>
    <col collapsed="false" customWidth="true" hidden="false" outlineLevel="0" max="6660" min="6657" style="34" width="1.42"/>
    <col collapsed="false" customWidth="true" hidden="false" outlineLevel="0" max="6661" min="6661" style="34" width="39.14"/>
    <col collapsed="false" customWidth="true" hidden="false" outlineLevel="0" max="6662" min="6662" style="34" width="7.86"/>
    <col collapsed="false" customWidth="true" hidden="false" outlineLevel="0" max="6663" min="6663" style="34" width="1.29"/>
    <col collapsed="false" customWidth="true" hidden="false" outlineLevel="0" max="6664" min="6664" style="34" width="0.86"/>
    <col collapsed="false" customWidth="true" hidden="false" outlineLevel="0" max="6665" min="6665" style="34" width="15.14"/>
    <col collapsed="false" customWidth="true" hidden="false" outlineLevel="0" max="6666" min="6666" style="34" width="0.86"/>
    <col collapsed="false" customWidth="true" hidden="false" outlineLevel="0" max="6667" min="6667" style="34" width="15.14"/>
    <col collapsed="false" customWidth="true" hidden="false" outlineLevel="0" max="6668" min="6668" style="34" width="13.42"/>
    <col collapsed="false" customWidth="true" hidden="false" outlineLevel="0" max="6669" min="6669" style="34" width="9.57"/>
    <col collapsed="false" customWidth="true" hidden="false" outlineLevel="0" max="6671" min="6670" style="34" width="13.42"/>
    <col collapsed="false" customWidth="true" hidden="false" outlineLevel="0" max="6673" min="6672" style="34" width="1.85"/>
    <col collapsed="false" customWidth="false" hidden="false" outlineLevel="0" max="6912" min="6674" style="34" width="8.29"/>
    <col collapsed="false" customWidth="true" hidden="false" outlineLevel="0" max="6916" min="6913" style="34" width="1.42"/>
    <col collapsed="false" customWidth="true" hidden="false" outlineLevel="0" max="6917" min="6917" style="34" width="39.14"/>
    <col collapsed="false" customWidth="true" hidden="false" outlineLevel="0" max="6918" min="6918" style="34" width="7.86"/>
    <col collapsed="false" customWidth="true" hidden="false" outlineLevel="0" max="6919" min="6919" style="34" width="1.29"/>
    <col collapsed="false" customWidth="true" hidden="false" outlineLevel="0" max="6920" min="6920" style="34" width="0.86"/>
    <col collapsed="false" customWidth="true" hidden="false" outlineLevel="0" max="6921" min="6921" style="34" width="15.14"/>
    <col collapsed="false" customWidth="true" hidden="false" outlineLevel="0" max="6922" min="6922" style="34" width="0.86"/>
    <col collapsed="false" customWidth="true" hidden="false" outlineLevel="0" max="6923" min="6923" style="34" width="15.14"/>
    <col collapsed="false" customWidth="true" hidden="false" outlineLevel="0" max="6924" min="6924" style="34" width="13.42"/>
    <col collapsed="false" customWidth="true" hidden="false" outlineLevel="0" max="6925" min="6925" style="34" width="9.57"/>
    <col collapsed="false" customWidth="true" hidden="false" outlineLevel="0" max="6927" min="6926" style="34" width="13.42"/>
    <col collapsed="false" customWidth="true" hidden="false" outlineLevel="0" max="6929" min="6928" style="34" width="1.85"/>
    <col collapsed="false" customWidth="false" hidden="false" outlineLevel="0" max="7168" min="6930" style="34" width="8.29"/>
    <col collapsed="false" customWidth="true" hidden="false" outlineLevel="0" max="7172" min="7169" style="34" width="1.42"/>
    <col collapsed="false" customWidth="true" hidden="false" outlineLevel="0" max="7173" min="7173" style="34" width="39.14"/>
    <col collapsed="false" customWidth="true" hidden="false" outlineLevel="0" max="7174" min="7174" style="34" width="7.86"/>
    <col collapsed="false" customWidth="true" hidden="false" outlineLevel="0" max="7175" min="7175" style="34" width="1.29"/>
    <col collapsed="false" customWidth="true" hidden="false" outlineLevel="0" max="7176" min="7176" style="34" width="0.86"/>
    <col collapsed="false" customWidth="true" hidden="false" outlineLevel="0" max="7177" min="7177" style="34" width="15.14"/>
    <col collapsed="false" customWidth="true" hidden="false" outlineLevel="0" max="7178" min="7178" style="34" width="0.86"/>
    <col collapsed="false" customWidth="true" hidden="false" outlineLevel="0" max="7179" min="7179" style="34" width="15.14"/>
    <col collapsed="false" customWidth="true" hidden="false" outlineLevel="0" max="7180" min="7180" style="34" width="13.42"/>
    <col collapsed="false" customWidth="true" hidden="false" outlineLevel="0" max="7181" min="7181" style="34" width="9.57"/>
    <col collapsed="false" customWidth="true" hidden="false" outlineLevel="0" max="7183" min="7182" style="34" width="13.42"/>
    <col collapsed="false" customWidth="true" hidden="false" outlineLevel="0" max="7185" min="7184" style="34" width="1.85"/>
    <col collapsed="false" customWidth="false" hidden="false" outlineLevel="0" max="7424" min="7186" style="34" width="8.29"/>
    <col collapsed="false" customWidth="true" hidden="false" outlineLevel="0" max="7428" min="7425" style="34" width="1.42"/>
    <col collapsed="false" customWidth="true" hidden="false" outlineLevel="0" max="7429" min="7429" style="34" width="39.14"/>
    <col collapsed="false" customWidth="true" hidden="false" outlineLevel="0" max="7430" min="7430" style="34" width="7.86"/>
    <col collapsed="false" customWidth="true" hidden="false" outlineLevel="0" max="7431" min="7431" style="34" width="1.29"/>
    <col collapsed="false" customWidth="true" hidden="false" outlineLevel="0" max="7432" min="7432" style="34" width="0.86"/>
    <col collapsed="false" customWidth="true" hidden="false" outlineLevel="0" max="7433" min="7433" style="34" width="15.14"/>
    <col collapsed="false" customWidth="true" hidden="false" outlineLevel="0" max="7434" min="7434" style="34" width="0.86"/>
    <col collapsed="false" customWidth="true" hidden="false" outlineLevel="0" max="7435" min="7435" style="34" width="15.14"/>
    <col collapsed="false" customWidth="true" hidden="false" outlineLevel="0" max="7436" min="7436" style="34" width="13.42"/>
    <col collapsed="false" customWidth="true" hidden="false" outlineLevel="0" max="7437" min="7437" style="34" width="9.57"/>
    <col collapsed="false" customWidth="true" hidden="false" outlineLevel="0" max="7439" min="7438" style="34" width="13.42"/>
    <col collapsed="false" customWidth="true" hidden="false" outlineLevel="0" max="7441" min="7440" style="34" width="1.85"/>
    <col collapsed="false" customWidth="false" hidden="false" outlineLevel="0" max="7680" min="7442" style="34" width="8.29"/>
    <col collapsed="false" customWidth="true" hidden="false" outlineLevel="0" max="7684" min="7681" style="34" width="1.42"/>
    <col collapsed="false" customWidth="true" hidden="false" outlineLevel="0" max="7685" min="7685" style="34" width="39.14"/>
    <col collapsed="false" customWidth="true" hidden="false" outlineLevel="0" max="7686" min="7686" style="34" width="7.86"/>
    <col collapsed="false" customWidth="true" hidden="false" outlineLevel="0" max="7687" min="7687" style="34" width="1.29"/>
    <col collapsed="false" customWidth="true" hidden="false" outlineLevel="0" max="7688" min="7688" style="34" width="0.86"/>
    <col collapsed="false" customWidth="true" hidden="false" outlineLevel="0" max="7689" min="7689" style="34" width="15.14"/>
    <col collapsed="false" customWidth="true" hidden="false" outlineLevel="0" max="7690" min="7690" style="34" width="0.86"/>
    <col collapsed="false" customWidth="true" hidden="false" outlineLevel="0" max="7691" min="7691" style="34" width="15.14"/>
    <col collapsed="false" customWidth="true" hidden="false" outlineLevel="0" max="7692" min="7692" style="34" width="13.42"/>
    <col collapsed="false" customWidth="true" hidden="false" outlineLevel="0" max="7693" min="7693" style="34" width="9.57"/>
    <col collapsed="false" customWidth="true" hidden="false" outlineLevel="0" max="7695" min="7694" style="34" width="13.42"/>
    <col collapsed="false" customWidth="true" hidden="false" outlineLevel="0" max="7697" min="7696" style="34" width="1.85"/>
    <col collapsed="false" customWidth="false" hidden="false" outlineLevel="0" max="7936" min="7698" style="34" width="8.29"/>
    <col collapsed="false" customWidth="true" hidden="false" outlineLevel="0" max="7940" min="7937" style="34" width="1.42"/>
    <col collapsed="false" customWidth="true" hidden="false" outlineLevel="0" max="7941" min="7941" style="34" width="39.14"/>
    <col collapsed="false" customWidth="true" hidden="false" outlineLevel="0" max="7942" min="7942" style="34" width="7.86"/>
    <col collapsed="false" customWidth="true" hidden="false" outlineLevel="0" max="7943" min="7943" style="34" width="1.29"/>
    <col collapsed="false" customWidth="true" hidden="false" outlineLevel="0" max="7944" min="7944" style="34" width="0.86"/>
    <col collapsed="false" customWidth="true" hidden="false" outlineLevel="0" max="7945" min="7945" style="34" width="15.14"/>
    <col collapsed="false" customWidth="true" hidden="false" outlineLevel="0" max="7946" min="7946" style="34" width="0.86"/>
    <col collapsed="false" customWidth="true" hidden="false" outlineLevel="0" max="7947" min="7947" style="34" width="15.14"/>
    <col collapsed="false" customWidth="true" hidden="false" outlineLevel="0" max="7948" min="7948" style="34" width="13.42"/>
    <col collapsed="false" customWidth="true" hidden="false" outlineLevel="0" max="7949" min="7949" style="34" width="9.57"/>
    <col collapsed="false" customWidth="true" hidden="false" outlineLevel="0" max="7951" min="7950" style="34" width="13.42"/>
    <col collapsed="false" customWidth="true" hidden="false" outlineLevel="0" max="7953" min="7952" style="34" width="1.85"/>
    <col collapsed="false" customWidth="false" hidden="false" outlineLevel="0" max="8192" min="7954" style="34" width="8.29"/>
    <col collapsed="false" customWidth="true" hidden="false" outlineLevel="0" max="8196" min="8193" style="34" width="1.42"/>
    <col collapsed="false" customWidth="true" hidden="false" outlineLevel="0" max="8197" min="8197" style="34" width="39.14"/>
    <col collapsed="false" customWidth="true" hidden="false" outlineLevel="0" max="8198" min="8198" style="34" width="7.86"/>
    <col collapsed="false" customWidth="true" hidden="false" outlineLevel="0" max="8199" min="8199" style="34" width="1.29"/>
    <col collapsed="false" customWidth="true" hidden="false" outlineLevel="0" max="8200" min="8200" style="34" width="0.86"/>
    <col collapsed="false" customWidth="true" hidden="false" outlineLevel="0" max="8201" min="8201" style="34" width="15.14"/>
    <col collapsed="false" customWidth="true" hidden="false" outlineLevel="0" max="8202" min="8202" style="34" width="0.86"/>
    <col collapsed="false" customWidth="true" hidden="false" outlineLevel="0" max="8203" min="8203" style="34" width="15.14"/>
    <col collapsed="false" customWidth="true" hidden="false" outlineLevel="0" max="8204" min="8204" style="34" width="13.42"/>
    <col collapsed="false" customWidth="true" hidden="false" outlineLevel="0" max="8205" min="8205" style="34" width="9.57"/>
    <col collapsed="false" customWidth="true" hidden="false" outlineLevel="0" max="8207" min="8206" style="34" width="13.42"/>
    <col collapsed="false" customWidth="true" hidden="false" outlineLevel="0" max="8209" min="8208" style="34" width="1.85"/>
    <col collapsed="false" customWidth="false" hidden="false" outlineLevel="0" max="8448" min="8210" style="34" width="8.29"/>
    <col collapsed="false" customWidth="true" hidden="false" outlineLevel="0" max="8452" min="8449" style="34" width="1.42"/>
    <col collapsed="false" customWidth="true" hidden="false" outlineLevel="0" max="8453" min="8453" style="34" width="39.14"/>
    <col collapsed="false" customWidth="true" hidden="false" outlineLevel="0" max="8454" min="8454" style="34" width="7.86"/>
    <col collapsed="false" customWidth="true" hidden="false" outlineLevel="0" max="8455" min="8455" style="34" width="1.29"/>
    <col collapsed="false" customWidth="true" hidden="false" outlineLevel="0" max="8456" min="8456" style="34" width="0.86"/>
    <col collapsed="false" customWidth="true" hidden="false" outlineLevel="0" max="8457" min="8457" style="34" width="15.14"/>
    <col collapsed="false" customWidth="true" hidden="false" outlineLevel="0" max="8458" min="8458" style="34" width="0.86"/>
    <col collapsed="false" customWidth="true" hidden="false" outlineLevel="0" max="8459" min="8459" style="34" width="15.14"/>
    <col collapsed="false" customWidth="true" hidden="false" outlineLevel="0" max="8460" min="8460" style="34" width="13.42"/>
    <col collapsed="false" customWidth="true" hidden="false" outlineLevel="0" max="8461" min="8461" style="34" width="9.57"/>
    <col collapsed="false" customWidth="true" hidden="false" outlineLevel="0" max="8463" min="8462" style="34" width="13.42"/>
    <col collapsed="false" customWidth="true" hidden="false" outlineLevel="0" max="8465" min="8464" style="34" width="1.85"/>
    <col collapsed="false" customWidth="false" hidden="false" outlineLevel="0" max="8704" min="8466" style="34" width="8.29"/>
    <col collapsed="false" customWidth="true" hidden="false" outlineLevel="0" max="8708" min="8705" style="34" width="1.42"/>
    <col collapsed="false" customWidth="true" hidden="false" outlineLevel="0" max="8709" min="8709" style="34" width="39.14"/>
    <col collapsed="false" customWidth="true" hidden="false" outlineLevel="0" max="8710" min="8710" style="34" width="7.86"/>
    <col collapsed="false" customWidth="true" hidden="false" outlineLevel="0" max="8711" min="8711" style="34" width="1.29"/>
    <col collapsed="false" customWidth="true" hidden="false" outlineLevel="0" max="8712" min="8712" style="34" width="0.86"/>
    <col collapsed="false" customWidth="true" hidden="false" outlineLevel="0" max="8713" min="8713" style="34" width="15.14"/>
    <col collapsed="false" customWidth="true" hidden="false" outlineLevel="0" max="8714" min="8714" style="34" width="0.86"/>
    <col collapsed="false" customWidth="true" hidden="false" outlineLevel="0" max="8715" min="8715" style="34" width="15.14"/>
    <col collapsed="false" customWidth="true" hidden="false" outlineLevel="0" max="8716" min="8716" style="34" width="13.42"/>
    <col collapsed="false" customWidth="true" hidden="false" outlineLevel="0" max="8717" min="8717" style="34" width="9.57"/>
    <col collapsed="false" customWidth="true" hidden="false" outlineLevel="0" max="8719" min="8718" style="34" width="13.42"/>
    <col collapsed="false" customWidth="true" hidden="false" outlineLevel="0" max="8721" min="8720" style="34" width="1.85"/>
    <col collapsed="false" customWidth="false" hidden="false" outlineLevel="0" max="8960" min="8722" style="34" width="8.29"/>
    <col collapsed="false" customWidth="true" hidden="false" outlineLevel="0" max="8964" min="8961" style="34" width="1.42"/>
    <col collapsed="false" customWidth="true" hidden="false" outlineLevel="0" max="8965" min="8965" style="34" width="39.14"/>
    <col collapsed="false" customWidth="true" hidden="false" outlineLevel="0" max="8966" min="8966" style="34" width="7.86"/>
    <col collapsed="false" customWidth="true" hidden="false" outlineLevel="0" max="8967" min="8967" style="34" width="1.29"/>
    <col collapsed="false" customWidth="true" hidden="false" outlineLevel="0" max="8968" min="8968" style="34" width="0.86"/>
    <col collapsed="false" customWidth="true" hidden="false" outlineLevel="0" max="8969" min="8969" style="34" width="15.14"/>
    <col collapsed="false" customWidth="true" hidden="false" outlineLevel="0" max="8970" min="8970" style="34" width="0.86"/>
    <col collapsed="false" customWidth="true" hidden="false" outlineLevel="0" max="8971" min="8971" style="34" width="15.14"/>
    <col collapsed="false" customWidth="true" hidden="false" outlineLevel="0" max="8972" min="8972" style="34" width="13.42"/>
    <col collapsed="false" customWidth="true" hidden="false" outlineLevel="0" max="8973" min="8973" style="34" width="9.57"/>
    <col collapsed="false" customWidth="true" hidden="false" outlineLevel="0" max="8975" min="8974" style="34" width="13.42"/>
    <col collapsed="false" customWidth="true" hidden="false" outlineLevel="0" max="8977" min="8976" style="34" width="1.85"/>
    <col collapsed="false" customWidth="false" hidden="false" outlineLevel="0" max="9216" min="8978" style="34" width="8.29"/>
    <col collapsed="false" customWidth="true" hidden="false" outlineLevel="0" max="9220" min="9217" style="34" width="1.42"/>
    <col collapsed="false" customWidth="true" hidden="false" outlineLevel="0" max="9221" min="9221" style="34" width="39.14"/>
    <col collapsed="false" customWidth="true" hidden="false" outlineLevel="0" max="9222" min="9222" style="34" width="7.86"/>
    <col collapsed="false" customWidth="true" hidden="false" outlineLevel="0" max="9223" min="9223" style="34" width="1.29"/>
    <col collapsed="false" customWidth="true" hidden="false" outlineLevel="0" max="9224" min="9224" style="34" width="0.86"/>
    <col collapsed="false" customWidth="true" hidden="false" outlineLevel="0" max="9225" min="9225" style="34" width="15.14"/>
    <col collapsed="false" customWidth="true" hidden="false" outlineLevel="0" max="9226" min="9226" style="34" width="0.86"/>
    <col collapsed="false" customWidth="true" hidden="false" outlineLevel="0" max="9227" min="9227" style="34" width="15.14"/>
    <col collapsed="false" customWidth="true" hidden="false" outlineLevel="0" max="9228" min="9228" style="34" width="13.42"/>
    <col collapsed="false" customWidth="true" hidden="false" outlineLevel="0" max="9229" min="9229" style="34" width="9.57"/>
    <col collapsed="false" customWidth="true" hidden="false" outlineLevel="0" max="9231" min="9230" style="34" width="13.42"/>
    <col collapsed="false" customWidth="true" hidden="false" outlineLevel="0" max="9233" min="9232" style="34" width="1.85"/>
    <col collapsed="false" customWidth="false" hidden="false" outlineLevel="0" max="9472" min="9234" style="34" width="8.29"/>
    <col collapsed="false" customWidth="true" hidden="false" outlineLevel="0" max="9476" min="9473" style="34" width="1.42"/>
    <col collapsed="false" customWidth="true" hidden="false" outlineLevel="0" max="9477" min="9477" style="34" width="39.14"/>
    <col collapsed="false" customWidth="true" hidden="false" outlineLevel="0" max="9478" min="9478" style="34" width="7.86"/>
    <col collapsed="false" customWidth="true" hidden="false" outlineLevel="0" max="9479" min="9479" style="34" width="1.29"/>
    <col collapsed="false" customWidth="true" hidden="false" outlineLevel="0" max="9480" min="9480" style="34" width="0.86"/>
    <col collapsed="false" customWidth="true" hidden="false" outlineLevel="0" max="9481" min="9481" style="34" width="15.14"/>
    <col collapsed="false" customWidth="true" hidden="false" outlineLevel="0" max="9482" min="9482" style="34" width="0.86"/>
    <col collapsed="false" customWidth="true" hidden="false" outlineLevel="0" max="9483" min="9483" style="34" width="15.14"/>
    <col collapsed="false" customWidth="true" hidden="false" outlineLevel="0" max="9484" min="9484" style="34" width="13.42"/>
    <col collapsed="false" customWidth="true" hidden="false" outlineLevel="0" max="9485" min="9485" style="34" width="9.57"/>
    <col collapsed="false" customWidth="true" hidden="false" outlineLevel="0" max="9487" min="9486" style="34" width="13.42"/>
    <col collapsed="false" customWidth="true" hidden="false" outlineLevel="0" max="9489" min="9488" style="34" width="1.85"/>
    <col collapsed="false" customWidth="false" hidden="false" outlineLevel="0" max="9728" min="9490" style="34" width="8.29"/>
    <col collapsed="false" customWidth="true" hidden="false" outlineLevel="0" max="9732" min="9729" style="34" width="1.42"/>
    <col collapsed="false" customWidth="true" hidden="false" outlineLevel="0" max="9733" min="9733" style="34" width="39.14"/>
    <col collapsed="false" customWidth="true" hidden="false" outlineLevel="0" max="9734" min="9734" style="34" width="7.86"/>
    <col collapsed="false" customWidth="true" hidden="false" outlineLevel="0" max="9735" min="9735" style="34" width="1.29"/>
    <col collapsed="false" customWidth="true" hidden="false" outlineLevel="0" max="9736" min="9736" style="34" width="0.86"/>
    <col collapsed="false" customWidth="true" hidden="false" outlineLevel="0" max="9737" min="9737" style="34" width="15.14"/>
    <col collapsed="false" customWidth="true" hidden="false" outlineLevel="0" max="9738" min="9738" style="34" width="0.86"/>
    <col collapsed="false" customWidth="true" hidden="false" outlineLevel="0" max="9739" min="9739" style="34" width="15.14"/>
    <col collapsed="false" customWidth="true" hidden="false" outlineLevel="0" max="9740" min="9740" style="34" width="13.42"/>
    <col collapsed="false" customWidth="true" hidden="false" outlineLevel="0" max="9741" min="9741" style="34" width="9.57"/>
    <col collapsed="false" customWidth="true" hidden="false" outlineLevel="0" max="9743" min="9742" style="34" width="13.42"/>
    <col collapsed="false" customWidth="true" hidden="false" outlineLevel="0" max="9745" min="9744" style="34" width="1.85"/>
    <col collapsed="false" customWidth="false" hidden="false" outlineLevel="0" max="9984" min="9746" style="34" width="8.29"/>
    <col collapsed="false" customWidth="true" hidden="false" outlineLevel="0" max="9988" min="9985" style="34" width="1.42"/>
    <col collapsed="false" customWidth="true" hidden="false" outlineLevel="0" max="9989" min="9989" style="34" width="39.14"/>
    <col collapsed="false" customWidth="true" hidden="false" outlineLevel="0" max="9990" min="9990" style="34" width="7.86"/>
    <col collapsed="false" customWidth="true" hidden="false" outlineLevel="0" max="9991" min="9991" style="34" width="1.29"/>
    <col collapsed="false" customWidth="true" hidden="false" outlineLevel="0" max="9992" min="9992" style="34" width="0.86"/>
    <col collapsed="false" customWidth="true" hidden="false" outlineLevel="0" max="9993" min="9993" style="34" width="15.14"/>
    <col collapsed="false" customWidth="true" hidden="false" outlineLevel="0" max="9994" min="9994" style="34" width="0.86"/>
    <col collapsed="false" customWidth="true" hidden="false" outlineLevel="0" max="9995" min="9995" style="34" width="15.14"/>
    <col collapsed="false" customWidth="true" hidden="false" outlineLevel="0" max="9996" min="9996" style="34" width="13.42"/>
    <col collapsed="false" customWidth="true" hidden="false" outlineLevel="0" max="9997" min="9997" style="34" width="9.57"/>
    <col collapsed="false" customWidth="true" hidden="false" outlineLevel="0" max="9999" min="9998" style="34" width="13.42"/>
    <col collapsed="false" customWidth="true" hidden="false" outlineLevel="0" max="10001" min="10000" style="34" width="1.85"/>
    <col collapsed="false" customWidth="false" hidden="false" outlineLevel="0" max="10240" min="10002" style="34" width="8.29"/>
    <col collapsed="false" customWidth="true" hidden="false" outlineLevel="0" max="10244" min="10241" style="34" width="1.42"/>
    <col collapsed="false" customWidth="true" hidden="false" outlineLevel="0" max="10245" min="10245" style="34" width="39.14"/>
    <col collapsed="false" customWidth="true" hidden="false" outlineLevel="0" max="10246" min="10246" style="34" width="7.86"/>
    <col collapsed="false" customWidth="true" hidden="false" outlineLevel="0" max="10247" min="10247" style="34" width="1.29"/>
    <col collapsed="false" customWidth="true" hidden="false" outlineLevel="0" max="10248" min="10248" style="34" width="0.86"/>
    <col collapsed="false" customWidth="true" hidden="false" outlineLevel="0" max="10249" min="10249" style="34" width="15.14"/>
    <col collapsed="false" customWidth="true" hidden="false" outlineLevel="0" max="10250" min="10250" style="34" width="0.86"/>
    <col collapsed="false" customWidth="true" hidden="false" outlineLevel="0" max="10251" min="10251" style="34" width="15.14"/>
    <col collapsed="false" customWidth="true" hidden="false" outlineLevel="0" max="10252" min="10252" style="34" width="13.42"/>
    <col collapsed="false" customWidth="true" hidden="false" outlineLevel="0" max="10253" min="10253" style="34" width="9.57"/>
    <col collapsed="false" customWidth="true" hidden="false" outlineLevel="0" max="10255" min="10254" style="34" width="13.42"/>
    <col collapsed="false" customWidth="true" hidden="false" outlineLevel="0" max="10257" min="10256" style="34" width="1.85"/>
    <col collapsed="false" customWidth="false" hidden="false" outlineLevel="0" max="10496" min="10258" style="34" width="8.29"/>
    <col collapsed="false" customWidth="true" hidden="false" outlineLevel="0" max="10500" min="10497" style="34" width="1.42"/>
    <col collapsed="false" customWidth="true" hidden="false" outlineLevel="0" max="10501" min="10501" style="34" width="39.14"/>
    <col collapsed="false" customWidth="true" hidden="false" outlineLevel="0" max="10502" min="10502" style="34" width="7.86"/>
    <col collapsed="false" customWidth="true" hidden="false" outlineLevel="0" max="10503" min="10503" style="34" width="1.29"/>
    <col collapsed="false" customWidth="true" hidden="false" outlineLevel="0" max="10504" min="10504" style="34" width="0.86"/>
    <col collapsed="false" customWidth="true" hidden="false" outlineLevel="0" max="10505" min="10505" style="34" width="15.14"/>
    <col collapsed="false" customWidth="true" hidden="false" outlineLevel="0" max="10506" min="10506" style="34" width="0.86"/>
    <col collapsed="false" customWidth="true" hidden="false" outlineLevel="0" max="10507" min="10507" style="34" width="15.14"/>
    <col collapsed="false" customWidth="true" hidden="false" outlineLevel="0" max="10508" min="10508" style="34" width="13.42"/>
    <col collapsed="false" customWidth="true" hidden="false" outlineLevel="0" max="10509" min="10509" style="34" width="9.57"/>
    <col collapsed="false" customWidth="true" hidden="false" outlineLevel="0" max="10511" min="10510" style="34" width="13.42"/>
    <col collapsed="false" customWidth="true" hidden="false" outlineLevel="0" max="10513" min="10512" style="34" width="1.85"/>
    <col collapsed="false" customWidth="false" hidden="false" outlineLevel="0" max="10752" min="10514" style="34" width="8.29"/>
    <col collapsed="false" customWidth="true" hidden="false" outlineLevel="0" max="10756" min="10753" style="34" width="1.42"/>
    <col collapsed="false" customWidth="true" hidden="false" outlineLevel="0" max="10757" min="10757" style="34" width="39.14"/>
    <col collapsed="false" customWidth="true" hidden="false" outlineLevel="0" max="10758" min="10758" style="34" width="7.86"/>
    <col collapsed="false" customWidth="true" hidden="false" outlineLevel="0" max="10759" min="10759" style="34" width="1.29"/>
    <col collapsed="false" customWidth="true" hidden="false" outlineLevel="0" max="10760" min="10760" style="34" width="0.86"/>
    <col collapsed="false" customWidth="true" hidden="false" outlineLevel="0" max="10761" min="10761" style="34" width="15.14"/>
    <col collapsed="false" customWidth="true" hidden="false" outlineLevel="0" max="10762" min="10762" style="34" width="0.86"/>
    <col collapsed="false" customWidth="true" hidden="false" outlineLevel="0" max="10763" min="10763" style="34" width="15.14"/>
    <col collapsed="false" customWidth="true" hidden="false" outlineLevel="0" max="10764" min="10764" style="34" width="13.42"/>
    <col collapsed="false" customWidth="true" hidden="false" outlineLevel="0" max="10765" min="10765" style="34" width="9.57"/>
    <col collapsed="false" customWidth="true" hidden="false" outlineLevel="0" max="10767" min="10766" style="34" width="13.42"/>
    <col collapsed="false" customWidth="true" hidden="false" outlineLevel="0" max="10769" min="10768" style="34" width="1.85"/>
    <col collapsed="false" customWidth="false" hidden="false" outlineLevel="0" max="11008" min="10770" style="34" width="8.29"/>
    <col collapsed="false" customWidth="true" hidden="false" outlineLevel="0" max="11012" min="11009" style="34" width="1.42"/>
    <col collapsed="false" customWidth="true" hidden="false" outlineLevel="0" max="11013" min="11013" style="34" width="39.14"/>
    <col collapsed="false" customWidth="true" hidden="false" outlineLevel="0" max="11014" min="11014" style="34" width="7.86"/>
    <col collapsed="false" customWidth="true" hidden="false" outlineLevel="0" max="11015" min="11015" style="34" width="1.29"/>
    <col collapsed="false" customWidth="true" hidden="false" outlineLevel="0" max="11016" min="11016" style="34" width="0.86"/>
    <col collapsed="false" customWidth="true" hidden="false" outlineLevel="0" max="11017" min="11017" style="34" width="15.14"/>
    <col collapsed="false" customWidth="true" hidden="false" outlineLevel="0" max="11018" min="11018" style="34" width="0.86"/>
    <col collapsed="false" customWidth="true" hidden="false" outlineLevel="0" max="11019" min="11019" style="34" width="15.14"/>
    <col collapsed="false" customWidth="true" hidden="false" outlineLevel="0" max="11020" min="11020" style="34" width="13.42"/>
    <col collapsed="false" customWidth="true" hidden="false" outlineLevel="0" max="11021" min="11021" style="34" width="9.57"/>
    <col collapsed="false" customWidth="true" hidden="false" outlineLevel="0" max="11023" min="11022" style="34" width="13.42"/>
    <col collapsed="false" customWidth="true" hidden="false" outlineLevel="0" max="11025" min="11024" style="34" width="1.85"/>
    <col collapsed="false" customWidth="false" hidden="false" outlineLevel="0" max="11264" min="11026" style="34" width="8.29"/>
    <col collapsed="false" customWidth="true" hidden="false" outlineLevel="0" max="11268" min="11265" style="34" width="1.42"/>
    <col collapsed="false" customWidth="true" hidden="false" outlineLevel="0" max="11269" min="11269" style="34" width="39.14"/>
    <col collapsed="false" customWidth="true" hidden="false" outlineLevel="0" max="11270" min="11270" style="34" width="7.86"/>
    <col collapsed="false" customWidth="true" hidden="false" outlineLevel="0" max="11271" min="11271" style="34" width="1.29"/>
    <col collapsed="false" customWidth="true" hidden="false" outlineLevel="0" max="11272" min="11272" style="34" width="0.86"/>
    <col collapsed="false" customWidth="true" hidden="false" outlineLevel="0" max="11273" min="11273" style="34" width="15.14"/>
    <col collapsed="false" customWidth="true" hidden="false" outlineLevel="0" max="11274" min="11274" style="34" width="0.86"/>
    <col collapsed="false" customWidth="true" hidden="false" outlineLevel="0" max="11275" min="11275" style="34" width="15.14"/>
    <col collapsed="false" customWidth="true" hidden="false" outlineLevel="0" max="11276" min="11276" style="34" width="13.42"/>
    <col collapsed="false" customWidth="true" hidden="false" outlineLevel="0" max="11277" min="11277" style="34" width="9.57"/>
    <col collapsed="false" customWidth="true" hidden="false" outlineLevel="0" max="11279" min="11278" style="34" width="13.42"/>
    <col collapsed="false" customWidth="true" hidden="false" outlineLevel="0" max="11281" min="11280" style="34" width="1.85"/>
    <col collapsed="false" customWidth="false" hidden="false" outlineLevel="0" max="11520" min="11282" style="34" width="8.29"/>
    <col collapsed="false" customWidth="true" hidden="false" outlineLevel="0" max="11524" min="11521" style="34" width="1.42"/>
    <col collapsed="false" customWidth="true" hidden="false" outlineLevel="0" max="11525" min="11525" style="34" width="39.14"/>
    <col collapsed="false" customWidth="true" hidden="false" outlineLevel="0" max="11526" min="11526" style="34" width="7.86"/>
    <col collapsed="false" customWidth="true" hidden="false" outlineLevel="0" max="11527" min="11527" style="34" width="1.29"/>
    <col collapsed="false" customWidth="true" hidden="false" outlineLevel="0" max="11528" min="11528" style="34" width="0.86"/>
    <col collapsed="false" customWidth="true" hidden="false" outlineLevel="0" max="11529" min="11529" style="34" width="15.14"/>
    <col collapsed="false" customWidth="true" hidden="false" outlineLevel="0" max="11530" min="11530" style="34" width="0.86"/>
    <col collapsed="false" customWidth="true" hidden="false" outlineLevel="0" max="11531" min="11531" style="34" width="15.14"/>
    <col collapsed="false" customWidth="true" hidden="false" outlineLevel="0" max="11532" min="11532" style="34" width="13.42"/>
    <col collapsed="false" customWidth="true" hidden="false" outlineLevel="0" max="11533" min="11533" style="34" width="9.57"/>
    <col collapsed="false" customWidth="true" hidden="false" outlineLevel="0" max="11535" min="11534" style="34" width="13.42"/>
    <col collapsed="false" customWidth="true" hidden="false" outlineLevel="0" max="11537" min="11536" style="34" width="1.85"/>
    <col collapsed="false" customWidth="false" hidden="false" outlineLevel="0" max="11776" min="11538" style="34" width="8.29"/>
    <col collapsed="false" customWidth="true" hidden="false" outlineLevel="0" max="11780" min="11777" style="34" width="1.42"/>
    <col collapsed="false" customWidth="true" hidden="false" outlineLevel="0" max="11781" min="11781" style="34" width="39.14"/>
    <col collapsed="false" customWidth="true" hidden="false" outlineLevel="0" max="11782" min="11782" style="34" width="7.86"/>
    <col collapsed="false" customWidth="true" hidden="false" outlineLevel="0" max="11783" min="11783" style="34" width="1.29"/>
    <col collapsed="false" customWidth="true" hidden="false" outlineLevel="0" max="11784" min="11784" style="34" width="0.86"/>
    <col collapsed="false" customWidth="true" hidden="false" outlineLevel="0" max="11785" min="11785" style="34" width="15.14"/>
    <col collapsed="false" customWidth="true" hidden="false" outlineLevel="0" max="11786" min="11786" style="34" width="0.86"/>
    <col collapsed="false" customWidth="true" hidden="false" outlineLevel="0" max="11787" min="11787" style="34" width="15.14"/>
    <col collapsed="false" customWidth="true" hidden="false" outlineLevel="0" max="11788" min="11788" style="34" width="13.42"/>
    <col collapsed="false" customWidth="true" hidden="false" outlineLevel="0" max="11789" min="11789" style="34" width="9.57"/>
    <col collapsed="false" customWidth="true" hidden="false" outlineLevel="0" max="11791" min="11790" style="34" width="13.42"/>
    <col collapsed="false" customWidth="true" hidden="false" outlineLevel="0" max="11793" min="11792" style="34" width="1.85"/>
    <col collapsed="false" customWidth="false" hidden="false" outlineLevel="0" max="12032" min="11794" style="34" width="8.29"/>
    <col collapsed="false" customWidth="true" hidden="false" outlineLevel="0" max="12036" min="12033" style="34" width="1.42"/>
    <col collapsed="false" customWidth="true" hidden="false" outlineLevel="0" max="12037" min="12037" style="34" width="39.14"/>
    <col collapsed="false" customWidth="true" hidden="false" outlineLevel="0" max="12038" min="12038" style="34" width="7.86"/>
    <col collapsed="false" customWidth="true" hidden="false" outlineLevel="0" max="12039" min="12039" style="34" width="1.29"/>
    <col collapsed="false" customWidth="true" hidden="false" outlineLevel="0" max="12040" min="12040" style="34" width="0.86"/>
    <col collapsed="false" customWidth="true" hidden="false" outlineLevel="0" max="12041" min="12041" style="34" width="15.14"/>
    <col collapsed="false" customWidth="true" hidden="false" outlineLevel="0" max="12042" min="12042" style="34" width="0.86"/>
    <col collapsed="false" customWidth="true" hidden="false" outlineLevel="0" max="12043" min="12043" style="34" width="15.14"/>
    <col collapsed="false" customWidth="true" hidden="false" outlineLevel="0" max="12044" min="12044" style="34" width="13.42"/>
    <col collapsed="false" customWidth="true" hidden="false" outlineLevel="0" max="12045" min="12045" style="34" width="9.57"/>
    <col collapsed="false" customWidth="true" hidden="false" outlineLevel="0" max="12047" min="12046" style="34" width="13.42"/>
    <col collapsed="false" customWidth="true" hidden="false" outlineLevel="0" max="12049" min="12048" style="34" width="1.85"/>
    <col collapsed="false" customWidth="false" hidden="false" outlineLevel="0" max="12288" min="12050" style="34" width="8.29"/>
    <col collapsed="false" customWidth="true" hidden="false" outlineLevel="0" max="12292" min="12289" style="34" width="1.42"/>
    <col collapsed="false" customWidth="true" hidden="false" outlineLevel="0" max="12293" min="12293" style="34" width="39.14"/>
    <col collapsed="false" customWidth="true" hidden="false" outlineLevel="0" max="12294" min="12294" style="34" width="7.86"/>
    <col collapsed="false" customWidth="true" hidden="false" outlineLevel="0" max="12295" min="12295" style="34" width="1.29"/>
    <col collapsed="false" customWidth="true" hidden="false" outlineLevel="0" max="12296" min="12296" style="34" width="0.86"/>
    <col collapsed="false" customWidth="true" hidden="false" outlineLevel="0" max="12297" min="12297" style="34" width="15.14"/>
    <col collapsed="false" customWidth="true" hidden="false" outlineLevel="0" max="12298" min="12298" style="34" width="0.86"/>
    <col collapsed="false" customWidth="true" hidden="false" outlineLevel="0" max="12299" min="12299" style="34" width="15.14"/>
    <col collapsed="false" customWidth="true" hidden="false" outlineLevel="0" max="12300" min="12300" style="34" width="13.42"/>
    <col collapsed="false" customWidth="true" hidden="false" outlineLevel="0" max="12301" min="12301" style="34" width="9.57"/>
    <col collapsed="false" customWidth="true" hidden="false" outlineLevel="0" max="12303" min="12302" style="34" width="13.42"/>
    <col collapsed="false" customWidth="true" hidden="false" outlineLevel="0" max="12305" min="12304" style="34" width="1.85"/>
    <col collapsed="false" customWidth="false" hidden="false" outlineLevel="0" max="12544" min="12306" style="34" width="8.29"/>
    <col collapsed="false" customWidth="true" hidden="false" outlineLevel="0" max="12548" min="12545" style="34" width="1.42"/>
    <col collapsed="false" customWidth="true" hidden="false" outlineLevel="0" max="12549" min="12549" style="34" width="39.14"/>
    <col collapsed="false" customWidth="true" hidden="false" outlineLevel="0" max="12550" min="12550" style="34" width="7.86"/>
    <col collapsed="false" customWidth="true" hidden="false" outlineLevel="0" max="12551" min="12551" style="34" width="1.29"/>
    <col collapsed="false" customWidth="true" hidden="false" outlineLevel="0" max="12552" min="12552" style="34" width="0.86"/>
    <col collapsed="false" customWidth="true" hidden="false" outlineLevel="0" max="12553" min="12553" style="34" width="15.14"/>
    <col collapsed="false" customWidth="true" hidden="false" outlineLevel="0" max="12554" min="12554" style="34" width="0.86"/>
    <col collapsed="false" customWidth="true" hidden="false" outlineLevel="0" max="12555" min="12555" style="34" width="15.14"/>
    <col collapsed="false" customWidth="true" hidden="false" outlineLevel="0" max="12556" min="12556" style="34" width="13.42"/>
    <col collapsed="false" customWidth="true" hidden="false" outlineLevel="0" max="12557" min="12557" style="34" width="9.57"/>
    <col collapsed="false" customWidth="true" hidden="false" outlineLevel="0" max="12559" min="12558" style="34" width="13.42"/>
    <col collapsed="false" customWidth="true" hidden="false" outlineLevel="0" max="12561" min="12560" style="34" width="1.85"/>
    <col collapsed="false" customWidth="false" hidden="false" outlineLevel="0" max="12800" min="12562" style="34" width="8.29"/>
    <col collapsed="false" customWidth="true" hidden="false" outlineLevel="0" max="12804" min="12801" style="34" width="1.42"/>
    <col collapsed="false" customWidth="true" hidden="false" outlineLevel="0" max="12805" min="12805" style="34" width="39.14"/>
    <col collapsed="false" customWidth="true" hidden="false" outlineLevel="0" max="12806" min="12806" style="34" width="7.86"/>
    <col collapsed="false" customWidth="true" hidden="false" outlineLevel="0" max="12807" min="12807" style="34" width="1.29"/>
    <col collapsed="false" customWidth="true" hidden="false" outlineLevel="0" max="12808" min="12808" style="34" width="0.86"/>
    <col collapsed="false" customWidth="true" hidden="false" outlineLevel="0" max="12809" min="12809" style="34" width="15.14"/>
    <col collapsed="false" customWidth="true" hidden="false" outlineLevel="0" max="12810" min="12810" style="34" width="0.86"/>
    <col collapsed="false" customWidth="true" hidden="false" outlineLevel="0" max="12811" min="12811" style="34" width="15.14"/>
    <col collapsed="false" customWidth="true" hidden="false" outlineLevel="0" max="12812" min="12812" style="34" width="13.42"/>
    <col collapsed="false" customWidth="true" hidden="false" outlineLevel="0" max="12813" min="12813" style="34" width="9.57"/>
    <col collapsed="false" customWidth="true" hidden="false" outlineLevel="0" max="12815" min="12814" style="34" width="13.42"/>
    <col collapsed="false" customWidth="true" hidden="false" outlineLevel="0" max="12817" min="12816" style="34" width="1.85"/>
    <col collapsed="false" customWidth="false" hidden="false" outlineLevel="0" max="13056" min="12818" style="34" width="8.29"/>
    <col collapsed="false" customWidth="true" hidden="false" outlineLevel="0" max="13060" min="13057" style="34" width="1.42"/>
    <col collapsed="false" customWidth="true" hidden="false" outlineLevel="0" max="13061" min="13061" style="34" width="39.14"/>
    <col collapsed="false" customWidth="true" hidden="false" outlineLevel="0" max="13062" min="13062" style="34" width="7.86"/>
    <col collapsed="false" customWidth="true" hidden="false" outlineLevel="0" max="13063" min="13063" style="34" width="1.29"/>
    <col collapsed="false" customWidth="true" hidden="false" outlineLevel="0" max="13064" min="13064" style="34" width="0.86"/>
    <col collapsed="false" customWidth="true" hidden="false" outlineLevel="0" max="13065" min="13065" style="34" width="15.14"/>
    <col collapsed="false" customWidth="true" hidden="false" outlineLevel="0" max="13066" min="13066" style="34" width="0.86"/>
    <col collapsed="false" customWidth="true" hidden="false" outlineLevel="0" max="13067" min="13067" style="34" width="15.14"/>
    <col collapsed="false" customWidth="true" hidden="false" outlineLevel="0" max="13068" min="13068" style="34" width="13.42"/>
    <col collapsed="false" customWidth="true" hidden="false" outlineLevel="0" max="13069" min="13069" style="34" width="9.57"/>
    <col collapsed="false" customWidth="true" hidden="false" outlineLevel="0" max="13071" min="13070" style="34" width="13.42"/>
    <col collapsed="false" customWidth="true" hidden="false" outlineLevel="0" max="13073" min="13072" style="34" width="1.85"/>
    <col collapsed="false" customWidth="false" hidden="false" outlineLevel="0" max="13312" min="13074" style="34" width="8.29"/>
    <col collapsed="false" customWidth="true" hidden="false" outlineLevel="0" max="13316" min="13313" style="34" width="1.42"/>
    <col collapsed="false" customWidth="true" hidden="false" outlineLevel="0" max="13317" min="13317" style="34" width="39.14"/>
    <col collapsed="false" customWidth="true" hidden="false" outlineLevel="0" max="13318" min="13318" style="34" width="7.86"/>
    <col collapsed="false" customWidth="true" hidden="false" outlineLevel="0" max="13319" min="13319" style="34" width="1.29"/>
    <col collapsed="false" customWidth="true" hidden="false" outlineLevel="0" max="13320" min="13320" style="34" width="0.86"/>
    <col collapsed="false" customWidth="true" hidden="false" outlineLevel="0" max="13321" min="13321" style="34" width="15.14"/>
    <col collapsed="false" customWidth="true" hidden="false" outlineLevel="0" max="13322" min="13322" style="34" width="0.86"/>
    <col collapsed="false" customWidth="true" hidden="false" outlineLevel="0" max="13323" min="13323" style="34" width="15.14"/>
    <col collapsed="false" customWidth="true" hidden="false" outlineLevel="0" max="13324" min="13324" style="34" width="13.42"/>
    <col collapsed="false" customWidth="true" hidden="false" outlineLevel="0" max="13325" min="13325" style="34" width="9.57"/>
    <col collapsed="false" customWidth="true" hidden="false" outlineLevel="0" max="13327" min="13326" style="34" width="13.42"/>
    <col collapsed="false" customWidth="true" hidden="false" outlineLevel="0" max="13329" min="13328" style="34" width="1.85"/>
    <col collapsed="false" customWidth="false" hidden="false" outlineLevel="0" max="13568" min="13330" style="34" width="8.29"/>
    <col collapsed="false" customWidth="true" hidden="false" outlineLevel="0" max="13572" min="13569" style="34" width="1.42"/>
    <col collapsed="false" customWidth="true" hidden="false" outlineLevel="0" max="13573" min="13573" style="34" width="39.14"/>
    <col collapsed="false" customWidth="true" hidden="false" outlineLevel="0" max="13574" min="13574" style="34" width="7.86"/>
    <col collapsed="false" customWidth="true" hidden="false" outlineLevel="0" max="13575" min="13575" style="34" width="1.29"/>
    <col collapsed="false" customWidth="true" hidden="false" outlineLevel="0" max="13576" min="13576" style="34" width="0.86"/>
    <col collapsed="false" customWidth="true" hidden="false" outlineLevel="0" max="13577" min="13577" style="34" width="15.14"/>
    <col collapsed="false" customWidth="true" hidden="false" outlineLevel="0" max="13578" min="13578" style="34" width="0.86"/>
    <col collapsed="false" customWidth="true" hidden="false" outlineLevel="0" max="13579" min="13579" style="34" width="15.14"/>
    <col collapsed="false" customWidth="true" hidden="false" outlineLevel="0" max="13580" min="13580" style="34" width="13.42"/>
    <col collapsed="false" customWidth="true" hidden="false" outlineLevel="0" max="13581" min="13581" style="34" width="9.57"/>
    <col collapsed="false" customWidth="true" hidden="false" outlineLevel="0" max="13583" min="13582" style="34" width="13.42"/>
    <col collapsed="false" customWidth="true" hidden="false" outlineLevel="0" max="13585" min="13584" style="34" width="1.85"/>
    <col collapsed="false" customWidth="false" hidden="false" outlineLevel="0" max="13824" min="13586" style="34" width="8.29"/>
    <col collapsed="false" customWidth="true" hidden="false" outlineLevel="0" max="13828" min="13825" style="34" width="1.42"/>
    <col collapsed="false" customWidth="true" hidden="false" outlineLevel="0" max="13829" min="13829" style="34" width="39.14"/>
    <col collapsed="false" customWidth="true" hidden="false" outlineLevel="0" max="13830" min="13830" style="34" width="7.86"/>
    <col collapsed="false" customWidth="true" hidden="false" outlineLevel="0" max="13831" min="13831" style="34" width="1.29"/>
    <col collapsed="false" customWidth="true" hidden="false" outlineLevel="0" max="13832" min="13832" style="34" width="0.86"/>
    <col collapsed="false" customWidth="true" hidden="false" outlineLevel="0" max="13833" min="13833" style="34" width="15.14"/>
    <col collapsed="false" customWidth="true" hidden="false" outlineLevel="0" max="13834" min="13834" style="34" width="0.86"/>
    <col collapsed="false" customWidth="true" hidden="false" outlineLevel="0" max="13835" min="13835" style="34" width="15.14"/>
    <col collapsed="false" customWidth="true" hidden="false" outlineLevel="0" max="13836" min="13836" style="34" width="13.42"/>
    <col collapsed="false" customWidth="true" hidden="false" outlineLevel="0" max="13837" min="13837" style="34" width="9.57"/>
    <col collapsed="false" customWidth="true" hidden="false" outlineLevel="0" max="13839" min="13838" style="34" width="13.42"/>
    <col collapsed="false" customWidth="true" hidden="false" outlineLevel="0" max="13841" min="13840" style="34" width="1.85"/>
    <col collapsed="false" customWidth="false" hidden="false" outlineLevel="0" max="14080" min="13842" style="34" width="8.29"/>
    <col collapsed="false" customWidth="true" hidden="false" outlineLevel="0" max="14084" min="14081" style="34" width="1.42"/>
    <col collapsed="false" customWidth="true" hidden="false" outlineLevel="0" max="14085" min="14085" style="34" width="39.14"/>
    <col collapsed="false" customWidth="true" hidden="false" outlineLevel="0" max="14086" min="14086" style="34" width="7.86"/>
    <col collapsed="false" customWidth="true" hidden="false" outlineLevel="0" max="14087" min="14087" style="34" width="1.29"/>
    <col collapsed="false" customWidth="true" hidden="false" outlineLevel="0" max="14088" min="14088" style="34" width="0.86"/>
    <col collapsed="false" customWidth="true" hidden="false" outlineLevel="0" max="14089" min="14089" style="34" width="15.14"/>
    <col collapsed="false" customWidth="true" hidden="false" outlineLevel="0" max="14090" min="14090" style="34" width="0.86"/>
    <col collapsed="false" customWidth="true" hidden="false" outlineLevel="0" max="14091" min="14091" style="34" width="15.14"/>
    <col collapsed="false" customWidth="true" hidden="false" outlineLevel="0" max="14092" min="14092" style="34" width="13.42"/>
    <col collapsed="false" customWidth="true" hidden="false" outlineLevel="0" max="14093" min="14093" style="34" width="9.57"/>
    <col collapsed="false" customWidth="true" hidden="false" outlineLevel="0" max="14095" min="14094" style="34" width="13.42"/>
    <col collapsed="false" customWidth="true" hidden="false" outlineLevel="0" max="14097" min="14096" style="34" width="1.85"/>
    <col collapsed="false" customWidth="false" hidden="false" outlineLevel="0" max="14336" min="14098" style="34" width="8.29"/>
    <col collapsed="false" customWidth="true" hidden="false" outlineLevel="0" max="14340" min="14337" style="34" width="1.42"/>
    <col collapsed="false" customWidth="true" hidden="false" outlineLevel="0" max="14341" min="14341" style="34" width="39.14"/>
    <col collapsed="false" customWidth="true" hidden="false" outlineLevel="0" max="14342" min="14342" style="34" width="7.86"/>
    <col collapsed="false" customWidth="true" hidden="false" outlineLevel="0" max="14343" min="14343" style="34" width="1.29"/>
    <col collapsed="false" customWidth="true" hidden="false" outlineLevel="0" max="14344" min="14344" style="34" width="0.86"/>
    <col collapsed="false" customWidth="true" hidden="false" outlineLevel="0" max="14345" min="14345" style="34" width="15.14"/>
    <col collapsed="false" customWidth="true" hidden="false" outlineLevel="0" max="14346" min="14346" style="34" width="0.86"/>
    <col collapsed="false" customWidth="true" hidden="false" outlineLevel="0" max="14347" min="14347" style="34" width="15.14"/>
    <col collapsed="false" customWidth="true" hidden="false" outlineLevel="0" max="14348" min="14348" style="34" width="13.42"/>
    <col collapsed="false" customWidth="true" hidden="false" outlineLevel="0" max="14349" min="14349" style="34" width="9.57"/>
    <col collapsed="false" customWidth="true" hidden="false" outlineLevel="0" max="14351" min="14350" style="34" width="13.42"/>
    <col collapsed="false" customWidth="true" hidden="false" outlineLevel="0" max="14353" min="14352" style="34" width="1.85"/>
    <col collapsed="false" customWidth="false" hidden="false" outlineLevel="0" max="14592" min="14354" style="34" width="8.29"/>
    <col collapsed="false" customWidth="true" hidden="false" outlineLevel="0" max="14596" min="14593" style="34" width="1.42"/>
    <col collapsed="false" customWidth="true" hidden="false" outlineLevel="0" max="14597" min="14597" style="34" width="39.14"/>
    <col collapsed="false" customWidth="true" hidden="false" outlineLevel="0" max="14598" min="14598" style="34" width="7.86"/>
    <col collapsed="false" customWidth="true" hidden="false" outlineLevel="0" max="14599" min="14599" style="34" width="1.29"/>
    <col collapsed="false" customWidth="true" hidden="false" outlineLevel="0" max="14600" min="14600" style="34" width="0.86"/>
    <col collapsed="false" customWidth="true" hidden="false" outlineLevel="0" max="14601" min="14601" style="34" width="15.14"/>
    <col collapsed="false" customWidth="true" hidden="false" outlineLevel="0" max="14602" min="14602" style="34" width="0.86"/>
    <col collapsed="false" customWidth="true" hidden="false" outlineLevel="0" max="14603" min="14603" style="34" width="15.14"/>
    <col collapsed="false" customWidth="true" hidden="false" outlineLevel="0" max="14604" min="14604" style="34" width="13.42"/>
    <col collapsed="false" customWidth="true" hidden="false" outlineLevel="0" max="14605" min="14605" style="34" width="9.57"/>
    <col collapsed="false" customWidth="true" hidden="false" outlineLevel="0" max="14607" min="14606" style="34" width="13.42"/>
    <col collapsed="false" customWidth="true" hidden="false" outlineLevel="0" max="14609" min="14608" style="34" width="1.85"/>
    <col collapsed="false" customWidth="false" hidden="false" outlineLevel="0" max="14848" min="14610" style="34" width="8.29"/>
    <col collapsed="false" customWidth="true" hidden="false" outlineLevel="0" max="14852" min="14849" style="34" width="1.42"/>
    <col collapsed="false" customWidth="true" hidden="false" outlineLevel="0" max="14853" min="14853" style="34" width="39.14"/>
    <col collapsed="false" customWidth="true" hidden="false" outlineLevel="0" max="14854" min="14854" style="34" width="7.86"/>
    <col collapsed="false" customWidth="true" hidden="false" outlineLevel="0" max="14855" min="14855" style="34" width="1.29"/>
    <col collapsed="false" customWidth="true" hidden="false" outlineLevel="0" max="14856" min="14856" style="34" width="0.86"/>
    <col collapsed="false" customWidth="true" hidden="false" outlineLevel="0" max="14857" min="14857" style="34" width="15.14"/>
    <col collapsed="false" customWidth="true" hidden="false" outlineLevel="0" max="14858" min="14858" style="34" width="0.86"/>
    <col collapsed="false" customWidth="true" hidden="false" outlineLevel="0" max="14859" min="14859" style="34" width="15.14"/>
    <col collapsed="false" customWidth="true" hidden="false" outlineLevel="0" max="14860" min="14860" style="34" width="13.42"/>
    <col collapsed="false" customWidth="true" hidden="false" outlineLevel="0" max="14861" min="14861" style="34" width="9.57"/>
    <col collapsed="false" customWidth="true" hidden="false" outlineLevel="0" max="14863" min="14862" style="34" width="13.42"/>
    <col collapsed="false" customWidth="true" hidden="false" outlineLevel="0" max="14865" min="14864" style="34" width="1.85"/>
    <col collapsed="false" customWidth="false" hidden="false" outlineLevel="0" max="15104" min="14866" style="34" width="8.29"/>
    <col collapsed="false" customWidth="true" hidden="false" outlineLevel="0" max="15108" min="15105" style="34" width="1.42"/>
    <col collapsed="false" customWidth="true" hidden="false" outlineLevel="0" max="15109" min="15109" style="34" width="39.14"/>
    <col collapsed="false" customWidth="true" hidden="false" outlineLevel="0" max="15110" min="15110" style="34" width="7.86"/>
    <col collapsed="false" customWidth="true" hidden="false" outlineLevel="0" max="15111" min="15111" style="34" width="1.29"/>
    <col collapsed="false" customWidth="true" hidden="false" outlineLevel="0" max="15112" min="15112" style="34" width="0.86"/>
    <col collapsed="false" customWidth="true" hidden="false" outlineLevel="0" max="15113" min="15113" style="34" width="15.14"/>
    <col collapsed="false" customWidth="true" hidden="false" outlineLevel="0" max="15114" min="15114" style="34" width="0.86"/>
    <col collapsed="false" customWidth="true" hidden="false" outlineLevel="0" max="15115" min="15115" style="34" width="15.14"/>
    <col collapsed="false" customWidth="true" hidden="false" outlineLevel="0" max="15116" min="15116" style="34" width="13.42"/>
    <col collapsed="false" customWidth="true" hidden="false" outlineLevel="0" max="15117" min="15117" style="34" width="9.57"/>
    <col collapsed="false" customWidth="true" hidden="false" outlineLevel="0" max="15119" min="15118" style="34" width="13.42"/>
    <col collapsed="false" customWidth="true" hidden="false" outlineLevel="0" max="15121" min="15120" style="34" width="1.85"/>
    <col collapsed="false" customWidth="false" hidden="false" outlineLevel="0" max="15360" min="15122" style="34" width="8.29"/>
    <col collapsed="false" customWidth="true" hidden="false" outlineLevel="0" max="15364" min="15361" style="34" width="1.42"/>
    <col collapsed="false" customWidth="true" hidden="false" outlineLevel="0" max="15365" min="15365" style="34" width="39.14"/>
    <col collapsed="false" customWidth="true" hidden="false" outlineLevel="0" max="15366" min="15366" style="34" width="7.86"/>
    <col collapsed="false" customWidth="true" hidden="false" outlineLevel="0" max="15367" min="15367" style="34" width="1.29"/>
    <col collapsed="false" customWidth="true" hidden="false" outlineLevel="0" max="15368" min="15368" style="34" width="0.86"/>
    <col collapsed="false" customWidth="true" hidden="false" outlineLevel="0" max="15369" min="15369" style="34" width="15.14"/>
    <col collapsed="false" customWidth="true" hidden="false" outlineLevel="0" max="15370" min="15370" style="34" width="0.86"/>
    <col collapsed="false" customWidth="true" hidden="false" outlineLevel="0" max="15371" min="15371" style="34" width="15.14"/>
    <col collapsed="false" customWidth="true" hidden="false" outlineLevel="0" max="15372" min="15372" style="34" width="13.42"/>
    <col collapsed="false" customWidth="true" hidden="false" outlineLevel="0" max="15373" min="15373" style="34" width="9.57"/>
    <col collapsed="false" customWidth="true" hidden="false" outlineLevel="0" max="15375" min="15374" style="34" width="13.42"/>
    <col collapsed="false" customWidth="true" hidden="false" outlineLevel="0" max="15377" min="15376" style="34" width="1.85"/>
    <col collapsed="false" customWidth="false" hidden="false" outlineLevel="0" max="15616" min="15378" style="34" width="8.29"/>
    <col collapsed="false" customWidth="true" hidden="false" outlineLevel="0" max="15620" min="15617" style="34" width="1.42"/>
    <col collapsed="false" customWidth="true" hidden="false" outlineLevel="0" max="15621" min="15621" style="34" width="39.14"/>
    <col collapsed="false" customWidth="true" hidden="false" outlineLevel="0" max="15622" min="15622" style="34" width="7.86"/>
    <col collapsed="false" customWidth="true" hidden="false" outlineLevel="0" max="15623" min="15623" style="34" width="1.29"/>
    <col collapsed="false" customWidth="true" hidden="false" outlineLevel="0" max="15624" min="15624" style="34" width="0.86"/>
    <col collapsed="false" customWidth="true" hidden="false" outlineLevel="0" max="15625" min="15625" style="34" width="15.14"/>
    <col collapsed="false" customWidth="true" hidden="false" outlineLevel="0" max="15626" min="15626" style="34" width="0.86"/>
    <col collapsed="false" customWidth="true" hidden="false" outlineLevel="0" max="15627" min="15627" style="34" width="15.14"/>
    <col collapsed="false" customWidth="true" hidden="false" outlineLevel="0" max="15628" min="15628" style="34" width="13.42"/>
    <col collapsed="false" customWidth="true" hidden="false" outlineLevel="0" max="15629" min="15629" style="34" width="9.57"/>
    <col collapsed="false" customWidth="true" hidden="false" outlineLevel="0" max="15631" min="15630" style="34" width="13.42"/>
    <col collapsed="false" customWidth="true" hidden="false" outlineLevel="0" max="15633" min="15632" style="34" width="1.85"/>
    <col collapsed="false" customWidth="false" hidden="false" outlineLevel="0" max="15872" min="15634" style="34" width="8.29"/>
    <col collapsed="false" customWidth="true" hidden="false" outlineLevel="0" max="15876" min="15873" style="34" width="1.42"/>
    <col collapsed="false" customWidth="true" hidden="false" outlineLevel="0" max="15877" min="15877" style="34" width="39.14"/>
    <col collapsed="false" customWidth="true" hidden="false" outlineLevel="0" max="15878" min="15878" style="34" width="7.86"/>
    <col collapsed="false" customWidth="true" hidden="false" outlineLevel="0" max="15879" min="15879" style="34" width="1.29"/>
    <col collapsed="false" customWidth="true" hidden="false" outlineLevel="0" max="15880" min="15880" style="34" width="0.86"/>
    <col collapsed="false" customWidth="true" hidden="false" outlineLevel="0" max="15881" min="15881" style="34" width="15.14"/>
    <col collapsed="false" customWidth="true" hidden="false" outlineLevel="0" max="15882" min="15882" style="34" width="0.86"/>
    <col collapsed="false" customWidth="true" hidden="false" outlineLevel="0" max="15883" min="15883" style="34" width="15.14"/>
    <col collapsed="false" customWidth="true" hidden="false" outlineLevel="0" max="15884" min="15884" style="34" width="13.42"/>
    <col collapsed="false" customWidth="true" hidden="false" outlineLevel="0" max="15885" min="15885" style="34" width="9.57"/>
    <col collapsed="false" customWidth="true" hidden="false" outlineLevel="0" max="15887" min="15886" style="34" width="13.42"/>
    <col collapsed="false" customWidth="true" hidden="false" outlineLevel="0" max="15889" min="15888" style="34" width="1.85"/>
    <col collapsed="false" customWidth="false" hidden="false" outlineLevel="0" max="16128" min="15890" style="34" width="8.29"/>
    <col collapsed="false" customWidth="true" hidden="false" outlineLevel="0" max="16132" min="16129" style="34" width="1.42"/>
    <col collapsed="false" customWidth="true" hidden="false" outlineLevel="0" max="16133" min="16133" style="34" width="39.14"/>
    <col collapsed="false" customWidth="true" hidden="false" outlineLevel="0" max="16134" min="16134" style="34" width="7.86"/>
    <col collapsed="false" customWidth="true" hidden="false" outlineLevel="0" max="16135" min="16135" style="34" width="1.29"/>
    <col collapsed="false" customWidth="true" hidden="false" outlineLevel="0" max="16136" min="16136" style="34" width="0.86"/>
    <col collapsed="false" customWidth="true" hidden="false" outlineLevel="0" max="16137" min="16137" style="34" width="15.14"/>
    <col collapsed="false" customWidth="true" hidden="false" outlineLevel="0" max="16138" min="16138" style="34" width="0.86"/>
    <col collapsed="false" customWidth="true" hidden="false" outlineLevel="0" max="16139" min="16139" style="34" width="15.14"/>
    <col collapsed="false" customWidth="true" hidden="false" outlineLevel="0" max="16140" min="16140" style="34" width="13.42"/>
    <col collapsed="false" customWidth="true" hidden="false" outlineLevel="0" max="16141" min="16141" style="34" width="9.57"/>
    <col collapsed="false" customWidth="true" hidden="false" outlineLevel="0" max="16143" min="16142" style="34" width="13.42"/>
    <col collapsed="false" customWidth="true" hidden="false" outlineLevel="0" max="16145" min="16144" style="34" width="1.85"/>
    <col collapsed="false" customWidth="false" hidden="false" outlineLevel="0" max="16384" min="16146" style="34" width="8.29"/>
  </cols>
  <sheetData>
    <row r="1" customFormat="false" ht="22.5" hidden="false" customHeight="true" outlineLevel="0" collapsed="false">
      <c r="K1" s="36" t="s">
        <v>0</v>
      </c>
    </row>
    <row r="2" customFormat="false" ht="22.5" hidden="false" customHeight="true" outlineLevel="0" collapsed="false">
      <c r="K2" s="36" t="s">
        <v>1</v>
      </c>
    </row>
    <row r="3" customFormat="false" ht="22.5" hidden="false" customHeight="true" outlineLevel="0" collapsed="false">
      <c r="A3" s="37" t="s">
        <v>69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customFormat="false" ht="22.5" hidden="false" customHeight="true" outlineLevel="0" collapsed="false">
      <c r="A4" s="38" t="s">
        <v>70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customFormat="false" ht="22.5" hidden="false" customHeight="true" outlineLevel="0" collapsed="false">
      <c r="A5" s="38" t="s">
        <v>71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9"/>
      <c r="M5" s="39"/>
      <c r="N5" s="39"/>
      <c r="O5" s="39"/>
    </row>
    <row r="6" customFormat="false" ht="22.5" hidden="false" customHeight="true" outlineLevel="0" collapsed="false">
      <c r="A6" s="38" t="s">
        <v>72</v>
      </c>
      <c r="B6" s="38"/>
      <c r="C6" s="38"/>
      <c r="D6" s="38"/>
      <c r="E6" s="38"/>
      <c r="F6" s="38"/>
      <c r="G6" s="38"/>
      <c r="H6" s="38"/>
      <c r="I6" s="38"/>
      <c r="J6" s="38"/>
      <c r="K6" s="38"/>
    </row>
    <row r="7" customFormat="false" ht="7.5" hidden="false" customHeight="true" outlineLevel="0" collapsed="false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</row>
    <row r="8" s="41" customFormat="true" ht="22.5" hidden="false" customHeight="true" outlineLevel="0" collapsed="false">
      <c r="E8" s="42"/>
      <c r="F8" s="42"/>
      <c r="G8" s="42"/>
      <c r="H8" s="42"/>
      <c r="I8" s="43" t="s">
        <v>7</v>
      </c>
      <c r="J8" s="43"/>
      <c r="K8" s="43"/>
    </row>
    <row r="9" s="41" customFormat="true" ht="22.5" hidden="false" customHeight="true" outlineLevel="0" collapsed="false">
      <c r="F9" s="42"/>
      <c r="G9" s="44" t="s">
        <v>10</v>
      </c>
      <c r="H9" s="42"/>
      <c r="I9" s="45"/>
      <c r="J9" s="46"/>
      <c r="K9" s="45"/>
    </row>
    <row r="10" s="41" customFormat="true" ht="22.5" hidden="false" customHeight="true" outlineLevel="0" collapsed="false">
      <c r="A10" s="41" t="s">
        <v>73</v>
      </c>
      <c r="F10" s="44"/>
      <c r="I10" s="47"/>
      <c r="K10" s="47"/>
    </row>
    <row r="11" s="41" customFormat="true" ht="22.5" hidden="false" customHeight="true" outlineLevel="0" collapsed="false">
      <c r="B11" s="41" t="s">
        <v>74</v>
      </c>
      <c r="F11" s="48"/>
      <c r="H11" s="49"/>
      <c r="I11" s="50"/>
      <c r="J11" s="51"/>
      <c r="K11" s="50"/>
      <c r="L11" s="52"/>
    </row>
    <row r="12" s="41" customFormat="true" ht="22.5" hidden="false" customHeight="true" outlineLevel="0" collapsed="false">
      <c r="B12" s="41" t="s">
        <v>75</v>
      </c>
      <c r="C12" s="53"/>
      <c r="F12" s="44"/>
      <c r="H12" s="51"/>
      <c r="I12" s="54"/>
      <c r="J12" s="51"/>
      <c r="K12" s="54"/>
      <c r="L12" s="52"/>
    </row>
    <row r="13" s="41" customFormat="true" ht="22.5" hidden="false" customHeight="true" outlineLevel="0" collapsed="false">
      <c r="E13" s="41" t="s">
        <v>76</v>
      </c>
      <c r="F13" s="55"/>
      <c r="H13" s="51"/>
      <c r="I13" s="56" t="n">
        <f aca="false">I11+I12</f>
        <v>0</v>
      </c>
      <c r="J13" s="51"/>
      <c r="K13" s="56" t="n">
        <f aca="false">SUM(K11:K12)</f>
        <v>0</v>
      </c>
      <c r="L13" s="52"/>
    </row>
    <row r="14" s="41" customFormat="true" ht="22.5" hidden="false" customHeight="true" outlineLevel="0" collapsed="false">
      <c r="A14" s="41" t="s">
        <v>77</v>
      </c>
      <c r="F14" s="57"/>
      <c r="H14" s="51"/>
      <c r="I14" s="50"/>
      <c r="J14" s="51"/>
      <c r="K14" s="50"/>
      <c r="L14" s="52"/>
    </row>
    <row r="15" s="41" customFormat="true" ht="22.5" hidden="false" customHeight="true" outlineLevel="0" collapsed="false">
      <c r="B15" s="41" t="s">
        <v>78</v>
      </c>
      <c r="F15" s="55"/>
      <c r="H15" s="51"/>
      <c r="I15" s="50"/>
      <c r="J15" s="51"/>
      <c r="K15" s="50"/>
      <c r="L15" s="52"/>
    </row>
    <row r="16" s="41" customFormat="true" ht="22.5" hidden="false" customHeight="true" outlineLevel="0" collapsed="false">
      <c r="B16" s="41" t="s">
        <v>79</v>
      </c>
      <c r="F16" s="55"/>
      <c r="H16" s="51"/>
      <c r="I16" s="50"/>
      <c r="J16" s="51"/>
      <c r="K16" s="50"/>
      <c r="L16" s="52"/>
      <c r="O16" s="52"/>
    </row>
    <row r="17" s="41" customFormat="true" ht="22.5" hidden="false" customHeight="true" outlineLevel="0" collapsed="false">
      <c r="B17" s="41" t="s">
        <v>80</v>
      </c>
      <c r="F17" s="48"/>
      <c r="H17" s="49"/>
      <c r="I17" s="50"/>
      <c r="J17" s="51"/>
      <c r="K17" s="50"/>
      <c r="L17" s="52"/>
      <c r="N17" s="52"/>
    </row>
    <row r="18" s="41" customFormat="true" ht="22.5" hidden="false" customHeight="true" outlineLevel="0" collapsed="false">
      <c r="E18" s="41" t="s">
        <v>81</v>
      </c>
      <c r="F18" s="48"/>
      <c r="H18" s="49"/>
      <c r="I18" s="56" t="n">
        <f aca="false">SUM(I15:I17)</f>
        <v>0</v>
      </c>
      <c r="J18" s="51"/>
      <c r="K18" s="56" t="n">
        <f aca="false">SUM(K15:K17)</f>
        <v>0</v>
      </c>
      <c r="L18" s="52"/>
      <c r="N18" s="52"/>
    </row>
    <row r="19" s="41" customFormat="true" ht="22.5" hidden="false" customHeight="true" outlineLevel="0" collapsed="false">
      <c r="A19" s="41" t="s">
        <v>82</v>
      </c>
      <c r="F19" s="48"/>
      <c r="H19" s="49"/>
      <c r="I19" s="58" t="n">
        <f aca="false">I13-I18</f>
        <v>0</v>
      </c>
      <c r="J19" s="51"/>
      <c r="K19" s="58" t="n">
        <f aca="false">K13-K18</f>
        <v>0</v>
      </c>
      <c r="L19" s="52"/>
      <c r="N19" s="52"/>
    </row>
    <row r="20" s="41" customFormat="true" ht="22.5" hidden="false" customHeight="true" outlineLevel="0" collapsed="false">
      <c r="A20" s="41" t="s">
        <v>83</v>
      </c>
      <c r="F20" s="48"/>
      <c r="H20" s="49"/>
      <c r="I20" s="59"/>
      <c r="J20" s="51"/>
      <c r="K20" s="59"/>
      <c r="L20" s="52"/>
      <c r="N20" s="52"/>
    </row>
    <row r="21" s="41" customFormat="true" ht="22.5" hidden="false" customHeight="true" outlineLevel="0" collapsed="false">
      <c r="A21" s="41" t="s">
        <v>84</v>
      </c>
      <c r="F21" s="55"/>
      <c r="H21" s="51"/>
      <c r="I21" s="58" t="n">
        <f aca="false">I19-I20</f>
        <v>0</v>
      </c>
      <c r="J21" s="58" t="n">
        <f aca="false">J19-J20</f>
        <v>0</v>
      </c>
      <c r="K21" s="58" t="n">
        <f aca="false">K19-K20</f>
        <v>0</v>
      </c>
      <c r="L21" s="52"/>
      <c r="M21" s="52"/>
    </row>
    <row r="22" s="41" customFormat="true" ht="22.5" hidden="false" customHeight="true" outlineLevel="0" collapsed="false">
      <c r="A22" s="41" t="s">
        <v>85</v>
      </c>
      <c r="F22" s="57"/>
      <c r="H22" s="60"/>
      <c r="I22" s="61"/>
      <c r="J22" s="51"/>
      <c r="K22" s="61"/>
      <c r="L22" s="52"/>
      <c r="M22" s="62"/>
    </row>
    <row r="23" s="41" customFormat="true" ht="22.5" hidden="false" customHeight="true" outlineLevel="0" collapsed="false">
      <c r="A23" s="41" t="s">
        <v>86</v>
      </c>
      <c r="F23" s="55"/>
      <c r="H23" s="51"/>
      <c r="I23" s="63" t="n">
        <f aca="false">SUM(I21-I22)</f>
        <v>0</v>
      </c>
      <c r="J23" s="64"/>
      <c r="K23" s="63" t="n">
        <f aca="false">SUM(K21-K22)</f>
        <v>0</v>
      </c>
      <c r="L23" s="52"/>
      <c r="N23" s="52"/>
    </row>
    <row r="24" s="41" customFormat="true" ht="22.5" hidden="false" customHeight="true" outlineLevel="0" collapsed="false">
      <c r="A24" s="41" t="s">
        <v>87</v>
      </c>
      <c r="F24" s="55"/>
      <c r="H24" s="51"/>
      <c r="I24" s="65"/>
      <c r="J24" s="51"/>
      <c r="K24" s="65"/>
      <c r="L24" s="52"/>
    </row>
    <row r="25" s="41" customFormat="true" ht="22.5" hidden="false" customHeight="true" outlineLevel="0" collapsed="false">
      <c r="A25" s="41" t="s">
        <v>88</v>
      </c>
      <c r="F25" s="55"/>
      <c r="H25" s="51"/>
      <c r="I25" s="66" t="n">
        <f aca="false">SUM(I23,I24)</f>
        <v>0</v>
      </c>
      <c r="J25" s="64"/>
      <c r="K25" s="66" t="n">
        <f aca="false">SUM(K23,K24)</f>
        <v>0</v>
      </c>
      <c r="L25" s="52"/>
      <c r="Q25" s="67"/>
      <c r="R25" s="67"/>
    </row>
    <row r="26" s="41" customFormat="true" ht="11.25" hidden="false" customHeight="true" outlineLevel="0" collapsed="false">
      <c r="F26" s="55"/>
      <c r="H26" s="51"/>
      <c r="I26" s="50"/>
      <c r="J26" s="51"/>
      <c r="K26" s="51"/>
      <c r="L26" s="52"/>
    </row>
    <row r="27" s="41" customFormat="true" ht="22.5" hidden="false" customHeight="true" outlineLevel="0" collapsed="false">
      <c r="A27" s="41" t="s">
        <v>89</v>
      </c>
      <c r="F27" s="57"/>
      <c r="H27" s="51"/>
      <c r="I27" s="50"/>
      <c r="J27" s="51"/>
      <c r="K27" s="50"/>
      <c r="L27" s="52"/>
    </row>
    <row r="28" s="41" customFormat="true" ht="22.5" hidden="false" customHeight="true" outlineLevel="0" collapsed="false">
      <c r="C28" s="41" t="s">
        <v>90</v>
      </c>
      <c r="F28" s="57"/>
      <c r="H28" s="51"/>
      <c r="I28" s="68"/>
      <c r="J28" s="51"/>
      <c r="K28" s="68"/>
      <c r="L28" s="52"/>
      <c r="M28" s="62"/>
    </row>
    <row r="29" s="41" customFormat="true" ht="22.5" hidden="false" customHeight="true" outlineLevel="0" collapsed="false">
      <c r="F29" s="57"/>
      <c r="H29" s="51"/>
      <c r="I29" s="50"/>
      <c r="J29" s="51"/>
      <c r="K29" s="50"/>
    </row>
    <row r="30" s="41" customFormat="true" ht="22.5" hidden="false" customHeight="true" outlineLevel="0" collapsed="false">
      <c r="F30" s="57"/>
      <c r="H30" s="51"/>
      <c r="I30" s="69"/>
      <c r="J30" s="51"/>
      <c r="K30" s="51"/>
    </row>
    <row r="31" s="41" customFormat="true" ht="24" hidden="false" customHeight="true" outlineLevel="0" collapsed="false">
      <c r="F31" s="57"/>
      <c r="H31" s="51"/>
      <c r="I31" s="51"/>
      <c r="J31" s="51"/>
      <c r="K31" s="51"/>
    </row>
    <row r="32" s="41" customFormat="true" ht="24" hidden="false" customHeight="true" outlineLevel="0" collapsed="false">
      <c r="F32" s="57"/>
      <c r="H32" s="51"/>
      <c r="I32" s="50"/>
      <c r="J32" s="51"/>
      <c r="K32" s="51"/>
    </row>
    <row r="33" s="41" customFormat="true" ht="24" hidden="false" customHeight="true" outlineLevel="0" collapsed="false">
      <c r="F33" s="57"/>
      <c r="H33" s="51"/>
      <c r="I33" s="50"/>
      <c r="J33" s="51"/>
      <c r="K33" s="51"/>
    </row>
    <row r="34" s="41" customFormat="true" ht="24" hidden="false" customHeight="true" outlineLevel="0" collapsed="false">
      <c r="F34" s="57"/>
      <c r="H34" s="51"/>
      <c r="I34" s="50"/>
      <c r="J34" s="51"/>
      <c r="K34" s="51"/>
    </row>
    <row r="35" s="41" customFormat="true" ht="24" hidden="false" customHeight="true" outlineLevel="0" collapsed="false">
      <c r="F35" s="57"/>
      <c r="H35" s="51"/>
      <c r="I35" s="50"/>
      <c r="J35" s="51"/>
      <c r="K35" s="51"/>
    </row>
    <row r="36" s="41" customFormat="true" ht="24" hidden="false" customHeight="true" outlineLevel="0" collapsed="false">
      <c r="F36" s="57"/>
      <c r="H36" s="51"/>
      <c r="I36" s="50"/>
      <c r="J36" s="51"/>
      <c r="K36" s="51"/>
    </row>
    <row r="37" s="41" customFormat="true" ht="24" hidden="false" customHeight="true" outlineLevel="0" collapsed="false">
      <c r="F37" s="57"/>
      <c r="H37" s="51"/>
      <c r="I37" s="50"/>
      <c r="J37" s="51"/>
      <c r="K37" s="51"/>
    </row>
    <row r="38" s="41" customFormat="true" ht="24" hidden="false" customHeight="true" outlineLevel="0" collapsed="false">
      <c r="F38" s="57"/>
      <c r="H38" s="51"/>
      <c r="I38" s="50"/>
      <c r="J38" s="51"/>
      <c r="K38" s="51"/>
    </row>
    <row r="39" s="41" customFormat="true" ht="24" hidden="false" customHeight="true" outlineLevel="0" collapsed="false">
      <c r="F39" s="57"/>
      <c r="H39" s="51"/>
      <c r="I39" s="50"/>
      <c r="J39" s="51"/>
      <c r="K39" s="51"/>
    </row>
  </sheetData>
  <mergeCells count="5">
    <mergeCell ref="A3:K3"/>
    <mergeCell ref="A4:K4"/>
    <mergeCell ref="A5:K5"/>
    <mergeCell ref="A6:K6"/>
    <mergeCell ref="I8:K8"/>
  </mergeCells>
  <printOptions headings="false" gridLines="false" gridLinesSet="true" horizontalCentered="false" verticalCentered="false"/>
  <pageMargins left="0.7875" right="0.315277777777778" top="0.511805555555556" bottom="1.18125" header="0.511811023622047" footer="1.181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&amp;L&amp;"Angsana New,Regular"&amp;16 หมายเหตุประกอบงบการเงินระหว่างกาลเป็นส่วนหนึ่งของงบการเงินระหว่างกาลนี้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R40"/>
  <sheetViews>
    <sheetView showFormulas="false" showGridLines="false" showRowColHeaders="true" showZeros="true" rightToLeft="false" tabSelected="false" showOutlineSymbols="true" defaultGridColor="true" view="pageBreakPreview" topLeftCell="A1" colorId="64" zoomScale="115" zoomScaleNormal="70" zoomScalePageLayoutView="115" workbookViewId="0">
      <selection pane="topLeft" activeCell="E1" activeCellId="0" sqref="E1"/>
    </sheetView>
  </sheetViews>
  <sheetFormatPr defaultColWidth="7.5703125" defaultRowHeight="24" zeroHeight="false" outlineLevelRow="0" outlineLevelCol="0"/>
  <cols>
    <col collapsed="false" customWidth="true" hidden="false" outlineLevel="0" max="4" min="1" style="70" width="1.42"/>
    <col collapsed="false" customWidth="true" hidden="false" outlineLevel="0" max="5" min="5" style="70" width="39.29"/>
    <col collapsed="false" customWidth="true" hidden="false" outlineLevel="0" max="6" min="6" style="70" width="7.29"/>
    <col collapsed="false" customWidth="true" hidden="false" outlineLevel="0" max="7" min="7" style="70" width="1.14"/>
    <col collapsed="false" customWidth="true" hidden="false" outlineLevel="0" max="8" min="8" style="70" width="0.71"/>
    <col collapsed="false" customWidth="true" hidden="false" outlineLevel="0" max="9" min="9" style="71" width="16"/>
    <col collapsed="false" customWidth="true" hidden="false" outlineLevel="0" max="10" min="10" style="70" width="0.71"/>
    <col collapsed="false" customWidth="true" hidden="false" outlineLevel="0" max="11" min="11" style="70" width="16"/>
    <col collapsed="false" customWidth="true" hidden="false" outlineLevel="0" max="12" min="12" style="70" width="12.29"/>
    <col collapsed="false" customWidth="true" hidden="false" outlineLevel="0" max="13" min="13" style="70" width="8.86"/>
    <col collapsed="false" customWidth="true" hidden="false" outlineLevel="0" max="15" min="14" style="70" width="12.42"/>
    <col collapsed="false" customWidth="true" hidden="false" outlineLevel="0" max="16" min="16" style="70" width="1.57"/>
    <col collapsed="false" customWidth="true" hidden="false" outlineLevel="0" max="17" min="17" style="70" width="1.71"/>
    <col collapsed="false" customWidth="false" hidden="false" outlineLevel="0" max="256" min="18" style="70" width="7.57"/>
    <col collapsed="false" customWidth="true" hidden="false" outlineLevel="0" max="260" min="257" style="70" width="1.42"/>
    <col collapsed="false" customWidth="true" hidden="false" outlineLevel="0" max="261" min="261" style="70" width="35.85"/>
    <col collapsed="false" customWidth="true" hidden="false" outlineLevel="0" max="262" min="262" style="70" width="7.29"/>
    <col collapsed="false" customWidth="true" hidden="false" outlineLevel="0" max="263" min="263" style="70" width="1.14"/>
    <col collapsed="false" customWidth="true" hidden="false" outlineLevel="0" max="264" min="264" style="70" width="0.71"/>
    <col collapsed="false" customWidth="true" hidden="false" outlineLevel="0" max="265" min="265" style="70" width="13.86"/>
    <col collapsed="false" customWidth="true" hidden="false" outlineLevel="0" max="266" min="266" style="70" width="0.71"/>
    <col collapsed="false" customWidth="true" hidden="false" outlineLevel="0" max="267" min="267" style="70" width="13.86"/>
    <col collapsed="false" customWidth="true" hidden="false" outlineLevel="0" max="268" min="268" style="70" width="12.29"/>
    <col collapsed="false" customWidth="true" hidden="false" outlineLevel="0" max="269" min="269" style="70" width="8.86"/>
    <col collapsed="false" customWidth="true" hidden="false" outlineLevel="0" max="271" min="270" style="70" width="12.42"/>
    <col collapsed="false" customWidth="true" hidden="false" outlineLevel="0" max="272" min="272" style="70" width="1.57"/>
    <col collapsed="false" customWidth="true" hidden="false" outlineLevel="0" max="273" min="273" style="70" width="1.71"/>
    <col collapsed="false" customWidth="false" hidden="false" outlineLevel="0" max="512" min="274" style="70" width="7.57"/>
    <col collapsed="false" customWidth="true" hidden="false" outlineLevel="0" max="516" min="513" style="70" width="1.42"/>
    <col collapsed="false" customWidth="true" hidden="false" outlineLevel="0" max="517" min="517" style="70" width="35.85"/>
    <col collapsed="false" customWidth="true" hidden="false" outlineLevel="0" max="518" min="518" style="70" width="7.29"/>
    <col collapsed="false" customWidth="true" hidden="false" outlineLevel="0" max="519" min="519" style="70" width="1.14"/>
    <col collapsed="false" customWidth="true" hidden="false" outlineLevel="0" max="520" min="520" style="70" width="0.71"/>
    <col collapsed="false" customWidth="true" hidden="false" outlineLevel="0" max="521" min="521" style="70" width="13.86"/>
    <col collapsed="false" customWidth="true" hidden="false" outlineLevel="0" max="522" min="522" style="70" width="0.71"/>
    <col collapsed="false" customWidth="true" hidden="false" outlineLevel="0" max="523" min="523" style="70" width="13.86"/>
    <col collapsed="false" customWidth="true" hidden="false" outlineLevel="0" max="524" min="524" style="70" width="12.29"/>
    <col collapsed="false" customWidth="true" hidden="false" outlineLevel="0" max="525" min="525" style="70" width="8.86"/>
    <col collapsed="false" customWidth="true" hidden="false" outlineLevel="0" max="527" min="526" style="70" width="12.42"/>
    <col collapsed="false" customWidth="true" hidden="false" outlineLevel="0" max="528" min="528" style="70" width="1.57"/>
    <col collapsed="false" customWidth="true" hidden="false" outlineLevel="0" max="529" min="529" style="70" width="1.71"/>
    <col collapsed="false" customWidth="false" hidden="false" outlineLevel="0" max="768" min="530" style="70" width="7.57"/>
    <col collapsed="false" customWidth="true" hidden="false" outlineLevel="0" max="772" min="769" style="70" width="1.42"/>
    <col collapsed="false" customWidth="true" hidden="false" outlineLevel="0" max="773" min="773" style="70" width="35.85"/>
    <col collapsed="false" customWidth="true" hidden="false" outlineLevel="0" max="774" min="774" style="70" width="7.29"/>
    <col collapsed="false" customWidth="true" hidden="false" outlineLevel="0" max="775" min="775" style="70" width="1.14"/>
    <col collapsed="false" customWidth="true" hidden="false" outlineLevel="0" max="776" min="776" style="70" width="0.71"/>
    <col collapsed="false" customWidth="true" hidden="false" outlineLevel="0" max="777" min="777" style="70" width="13.86"/>
    <col collapsed="false" customWidth="true" hidden="false" outlineLevel="0" max="778" min="778" style="70" width="0.71"/>
    <col collapsed="false" customWidth="true" hidden="false" outlineLevel="0" max="779" min="779" style="70" width="13.86"/>
    <col collapsed="false" customWidth="true" hidden="false" outlineLevel="0" max="780" min="780" style="70" width="12.29"/>
    <col collapsed="false" customWidth="true" hidden="false" outlineLevel="0" max="781" min="781" style="70" width="8.86"/>
    <col collapsed="false" customWidth="true" hidden="false" outlineLevel="0" max="783" min="782" style="70" width="12.42"/>
    <col collapsed="false" customWidth="true" hidden="false" outlineLevel="0" max="784" min="784" style="70" width="1.57"/>
    <col collapsed="false" customWidth="true" hidden="false" outlineLevel="0" max="785" min="785" style="70" width="1.71"/>
    <col collapsed="false" customWidth="false" hidden="false" outlineLevel="0" max="1024" min="786" style="70" width="7.57"/>
    <col collapsed="false" customWidth="true" hidden="false" outlineLevel="0" max="1028" min="1025" style="70" width="1.42"/>
    <col collapsed="false" customWidth="true" hidden="false" outlineLevel="0" max="1029" min="1029" style="70" width="35.85"/>
    <col collapsed="false" customWidth="true" hidden="false" outlineLevel="0" max="1030" min="1030" style="70" width="7.29"/>
    <col collapsed="false" customWidth="true" hidden="false" outlineLevel="0" max="1031" min="1031" style="70" width="1.14"/>
    <col collapsed="false" customWidth="true" hidden="false" outlineLevel="0" max="1032" min="1032" style="70" width="0.71"/>
    <col collapsed="false" customWidth="true" hidden="false" outlineLevel="0" max="1033" min="1033" style="70" width="13.86"/>
    <col collapsed="false" customWidth="true" hidden="false" outlineLevel="0" max="1034" min="1034" style="70" width="0.71"/>
    <col collapsed="false" customWidth="true" hidden="false" outlineLevel="0" max="1035" min="1035" style="70" width="13.86"/>
    <col collapsed="false" customWidth="true" hidden="false" outlineLevel="0" max="1036" min="1036" style="70" width="12.29"/>
    <col collapsed="false" customWidth="true" hidden="false" outlineLevel="0" max="1037" min="1037" style="70" width="8.86"/>
    <col collapsed="false" customWidth="true" hidden="false" outlineLevel="0" max="1039" min="1038" style="70" width="12.42"/>
    <col collapsed="false" customWidth="true" hidden="false" outlineLevel="0" max="1040" min="1040" style="70" width="1.57"/>
    <col collapsed="false" customWidth="true" hidden="false" outlineLevel="0" max="1041" min="1041" style="70" width="1.71"/>
    <col collapsed="false" customWidth="false" hidden="false" outlineLevel="0" max="1280" min="1042" style="70" width="7.57"/>
    <col collapsed="false" customWidth="true" hidden="false" outlineLevel="0" max="1284" min="1281" style="70" width="1.42"/>
    <col collapsed="false" customWidth="true" hidden="false" outlineLevel="0" max="1285" min="1285" style="70" width="35.85"/>
    <col collapsed="false" customWidth="true" hidden="false" outlineLevel="0" max="1286" min="1286" style="70" width="7.29"/>
    <col collapsed="false" customWidth="true" hidden="false" outlineLevel="0" max="1287" min="1287" style="70" width="1.14"/>
    <col collapsed="false" customWidth="true" hidden="false" outlineLevel="0" max="1288" min="1288" style="70" width="0.71"/>
    <col collapsed="false" customWidth="true" hidden="false" outlineLevel="0" max="1289" min="1289" style="70" width="13.86"/>
    <col collapsed="false" customWidth="true" hidden="false" outlineLevel="0" max="1290" min="1290" style="70" width="0.71"/>
    <col collapsed="false" customWidth="true" hidden="false" outlineLevel="0" max="1291" min="1291" style="70" width="13.86"/>
    <col collapsed="false" customWidth="true" hidden="false" outlineLevel="0" max="1292" min="1292" style="70" width="12.29"/>
    <col collapsed="false" customWidth="true" hidden="false" outlineLevel="0" max="1293" min="1293" style="70" width="8.86"/>
    <col collapsed="false" customWidth="true" hidden="false" outlineLevel="0" max="1295" min="1294" style="70" width="12.42"/>
    <col collapsed="false" customWidth="true" hidden="false" outlineLevel="0" max="1296" min="1296" style="70" width="1.57"/>
    <col collapsed="false" customWidth="true" hidden="false" outlineLevel="0" max="1297" min="1297" style="70" width="1.71"/>
    <col collapsed="false" customWidth="false" hidden="false" outlineLevel="0" max="1536" min="1298" style="70" width="7.57"/>
    <col collapsed="false" customWidth="true" hidden="false" outlineLevel="0" max="1540" min="1537" style="70" width="1.42"/>
    <col collapsed="false" customWidth="true" hidden="false" outlineLevel="0" max="1541" min="1541" style="70" width="35.85"/>
    <col collapsed="false" customWidth="true" hidden="false" outlineLevel="0" max="1542" min="1542" style="70" width="7.29"/>
    <col collapsed="false" customWidth="true" hidden="false" outlineLevel="0" max="1543" min="1543" style="70" width="1.14"/>
    <col collapsed="false" customWidth="true" hidden="false" outlineLevel="0" max="1544" min="1544" style="70" width="0.71"/>
    <col collapsed="false" customWidth="true" hidden="false" outlineLevel="0" max="1545" min="1545" style="70" width="13.86"/>
    <col collapsed="false" customWidth="true" hidden="false" outlineLevel="0" max="1546" min="1546" style="70" width="0.71"/>
    <col collapsed="false" customWidth="true" hidden="false" outlineLevel="0" max="1547" min="1547" style="70" width="13.86"/>
    <col collapsed="false" customWidth="true" hidden="false" outlineLevel="0" max="1548" min="1548" style="70" width="12.29"/>
    <col collapsed="false" customWidth="true" hidden="false" outlineLevel="0" max="1549" min="1549" style="70" width="8.86"/>
    <col collapsed="false" customWidth="true" hidden="false" outlineLevel="0" max="1551" min="1550" style="70" width="12.42"/>
    <col collapsed="false" customWidth="true" hidden="false" outlineLevel="0" max="1552" min="1552" style="70" width="1.57"/>
    <col collapsed="false" customWidth="true" hidden="false" outlineLevel="0" max="1553" min="1553" style="70" width="1.71"/>
    <col collapsed="false" customWidth="false" hidden="false" outlineLevel="0" max="1792" min="1554" style="70" width="7.57"/>
    <col collapsed="false" customWidth="true" hidden="false" outlineLevel="0" max="1796" min="1793" style="70" width="1.42"/>
    <col collapsed="false" customWidth="true" hidden="false" outlineLevel="0" max="1797" min="1797" style="70" width="35.85"/>
    <col collapsed="false" customWidth="true" hidden="false" outlineLevel="0" max="1798" min="1798" style="70" width="7.29"/>
    <col collapsed="false" customWidth="true" hidden="false" outlineLevel="0" max="1799" min="1799" style="70" width="1.14"/>
    <col collapsed="false" customWidth="true" hidden="false" outlineLevel="0" max="1800" min="1800" style="70" width="0.71"/>
    <col collapsed="false" customWidth="true" hidden="false" outlineLevel="0" max="1801" min="1801" style="70" width="13.86"/>
    <col collapsed="false" customWidth="true" hidden="false" outlineLevel="0" max="1802" min="1802" style="70" width="0.71"/>
    <col collapsed="false" customWidth="true" hidden="false" outlineLevel="0" max="1803" min="1803" style="70" width="13.86"/>
    <col collapsed="false" customWidth="true" hidden="false" outlineLevel="0" max="1804" min="1804" style="70" width="12.29"/>
    <col collapsed="false" customWidth="true" hidden="false" outlineLevel="0" max="1805" min="1805" style="70" width="8.86"/>
    <col collapsed="false" customWidth="true" hidden="false" outlineLevel="0" max="1807" min="1806" style="70" width="12.42"/>
    <col collapsed="false" customWidth="true" hidden="false" outlineLevel="0" max="1808" min="1808" style="70" width="1.57"/>
    <col collapsed="false" customWidth="true" hidden="false" outlineLevel="0" max="1809" min="1809" style="70" width="1.71"/>
    <col collapsed="false" customWidth="false" hidden="false" outlineLevel="0" max="2048" min="1810" style="70" width="7.57"/>
    <col collapsed="false" customWidth="true" hidden="false" outlineLevel="0" max="2052" min="2049" style="70" width="1.42"/>
    <col collapsed="false" customWidth="true" hidden="false" outlineLevel="0" max="2053" min="2053" style="70" width="35.85"/>
    <col collapsed="false" customWidth="true" hidden="false" outlineLevel="0" max="2054" min="2054" style="70" width="7.29"/>
    <col collapsed="false" customWidth="true" hidden="false" outlineLevel="0" max="2055" min="2055" style="70" width="1.14"/>
    <col collapsed="false" customWidth="true" hidden="false" outlineLevel="0" max="2056" min="2056" style="70" width="0.71"/>
    <col collapsed="false" customWidth="true" hidden="false" outlineLevel="0" max="2057" min="2057" style="70" width="13.86"/>
    <col collapsed="false" customWidth="true" hidden="false" outlineLevel="0" max="2058" min="2058" style="70" width="0.71"/>
    <col collapsed="false" customWidth="true" hidden="false" outlineLevel="0" max="2059" min="2059" style="70" width="13.86"/>
    <col collapsed="false" customWidth="true" hidden="false" outlineLevel="0" max="2060" min="2060" style="70" width="12.29"/>
    <col collapsed="false" customWidth="true" hidden="false" outlineLevel="0" max="2061" min="2061" style="70" width="8.86"/>
    <col collapsed="false" customWidth="true" hidden="false" outlineLevel="0" max="2063" min="2062" style="70" width="12.42"/>
    <col collapsed="false" customWidth="true" hidden="false" outlineLevel="0" max="2064" min="2064" style="70" width="1.57"/>
    <col collapsed="false" customWidth="true" hidden="false" outlineLevel="0" max="2065" min="2065" style="70" width="1.71"/>
    <col collapsed="false" customWidth="false" hidden="false" outlineLevel="0" max="2304" min="2066" style="70" width="7.57"/>
    <col collapsed="false" customWidth="true" hidden="false" outlineLevel="0" max="2308" min="2305" style="70" width="1.42"/>
    <col collapsed="false" customWidth="true" hidden="false" outlineLevel="0" max="2309" min="2309" style="70" width="35.85"/>
    <col collapsed="false" customWidth="true" hidden="false" outlineLevel="0" max="2310" min="2310" style="70" width="7.29"/>
    <col collapsed="false" customWidth="true" hidden="false" outlineLevel="0" max="2311" min="2311" style="70" width="1.14"/>
    <col collapsed="false" customWidth="true" hidden="false" outlineLevel="0" max="2312" min="2312" style="70" width="0.71"/>
    <col collapsed="false" customWidth="true" hidden="false" outlineLevel="0" max="2313" min="2313" style="70" width="13.86"/>
    <col collapsed="false" customWidth="true" hidden="false" outlineLevel="0" max="2314" min="2314" style="70" width="0.71"/>
    <col collapsed="false" customWidth="true" hidden="false" outlineLevel="0" max="2315" min="2315" style="70" width="13.86"/>
    <col collapsed="false" customWidth="true" hidden="false" outlineLevel="0" max="2316" min="2316" style="70" width="12.29"/>
    <col collapsed="false" customWidth="true" hidden="false" outlineLevel="0" max="2317" min="2317" style="70" width="8.86"/>
    <col collapsed="false" customWidth="true" hidden="false" outlineLevel="0" max="2319" min="2318" style="70" width="12.42"/>
    <col collapsed="false" customWidth="true" hidden="false" outlineLevel="0" max="2320" min="2320" style="70" width="1.57"/>
    <col collapsed="false" customWidth="true" hidden="false" outlineLevel="0" max="2321" min="2321" style="70" width="1.71"/>
    <col collapsed="false" customWidth="false" hidden="false" outlineLevel="0" max="2560" min="2322" style="70" width="7.57"/>
    <col collapsed="false" customWidth="true" hidden="false" outlineLevel="0" max="2564" min="2561" style="70" width="1.42"/>
    <col collapsed="false" customWidth="true" hidden="false" outlineLevel="0" max="2565" min="2565" style="70" width="35.85"/>
    <col collapsed="false" customWidth="true" hidden="false" outlineLevel="0" max="2566" min="2566" style="70" width="7.29"/>
    <col collapsed="false" customWidth="true" hidden="false" outlineLevel="0" max="2567" min="2567" style="70" width="1.14"/>
    <col collapsed="false" customWidth="true" hidden="false" outlineLevel="0" max="2568" min="2568" style="70" width="0.71"/>
    <col collapsed="false" customWidth="true" hidden="false" outlineLevel="0" max="2569" min="2569" style="70" width="13.86"/>
    <col collapsed="false" customWidth="true" hidden="false" outlineLevel="0" max="2570" min="2570" style="70" width="0.71"/>
    <col collapsed="false" customWidth="true" hidden="false" outlineLevel="0" max="2571" min="2571" style="70" width="13.86"/>
    <col collapsed="false" customWidth="true" hidden="false" outlineLevel="0" max="2572" min="2572" style="70" width="12.29"/>
    <col collapsed="false" customWidth="true" hidden="false" outlineLevel="0" max="2573" min="2573" style="70" width="8.86"/>
    <col collapsed="false" customWidth="true" hidden="false" outlineLevel="0" max="2575" min="2574" style="70" width="12.42"/>
    <col collapsed="false" customWidth="true" hidden="false" outlineLevel="0" max="2576" min="2576" style="70" width="1.57"/>
    <col collapsed="false" customWidth="true" hidden="false" outlineLevel="0" max="2577" min="2577" style="70" width="1.71"/>
    <col collapsed="false" customWidth="false" hidden="false" outlineLevel="0" max="2816" min="2578" style="70" width="7.57"/>
    <col collapsed="false" customWidth="true" hidden="false" outlineLevel="0" max="2820" min="2817" style="70" width="1.42"/>
    <col collapsed="false" customWidth="true" hidden="false" outlineLevel="0" max="2821" min="2821" style="70" width="35.85"/>
    <col collapsed="false" customWidth="true" hidden="false" outlineLevel="0" max="2822" min="2822" style="70" width="7.29"/>
    <col collapsed="false" customWidth="true" hidden="false" outlineLevel="0" max="2823" min="2823" style="70" width="1.14"/>
    <col collapsed="false" customWidth="true" hidden="false" outlineLevel="0" max="2824" min="2824" style="70" width="0.71"/>
    <col collapsed="false" customWidth="true" hidden="false" outlineLevel="0" max="2825" min="2825" style="70" width="13.86"/>
    <col collapsed="false" customWidth="true" hidden="false" outlineLevel="0" max="2826" min="2826" style="70" width="0.71"/>
    <col collapsed="false" customWidth="true" hidden="false" outlineLevel="0" max="2827" min="2827" style="70" width="13.86"/>
    <col collapsed="false" customWidth="true" hidden="false" outlineLevel="0" max="2828" min="2828" style="70" width="12.29"/>
    <col collapsed="false" customWidth="true" hidden="false" outlineLevel="0" max="2829" min="2829" style="70" width="8.86"/>
    <col collapsed="false" customWidth="true" hidden="false" outlineLevel="0" max="2831" min="2830" style="70" width="12.42"/>
    <col collapsed="false" customWidth="true" hidden="false" outlineLevel="0" max="2832" min="2832" style="70" width="1.57"/>
    <col collapsed="false" customWidth="true" hidden="false" outlineLevel="0" max="2833" min="2833" style="70" width="1.71"/>
    <col collapsed="false" customWidth="false" hidden="false" outlineLevel="0" max="3072" min="2834" style="70" width="7.57"/>
    <col collapsed="false" customWidth="true" hidden="false" outlineLevel="0" max="3076" min="3073" style="70" width="1.42"/>
    <col collapsed="false" customWidth="true" hidden="false" outlineLevel="0" max="3077" min="3077" style="70" width="35.85"/>
    <col collapsed="false" customWidth="true" hidden="false" outlineLevel="0" max="3078" min="3078" style="70" width="7.29"/>
    <col collapsed="false" customWidth="true" hidden="false" outlineLevel="0" max="3079" min="3079" style="70" width="1.14"/>
    <col collapsed="false" customWidth="true" hidden="false" outlineLevel="0" max="3080" min="3080" style="70" width="0.71"/>
    <col collapsed="false" customWidth="true" hidden="false" outlineLevel="0" max="3081" min="3081" style="70" width="13.86"/>
    <col collapsed="false" customWidth="true" hidden="false" outlineLevel="0" max="3082" min="3082" style="70" width="0.71"/>
    <col collapsed="false" customWidth="true" hidden="false" outlineLevel="0" max="3083" min="3083" style="70" width="13.86"/>
    <col collapsed="false" customWidth="true" hidden="false" outlineLevel="0" max="3084" min="3084" style="70" width="12.29"/>
    <col collapsed="false" customWidth="true" hidden="false" outlineLevel="0" max="3085" min="3085" style="70" width="8.86"/>
    <col collapsed="false" customWidth="true" hidden="false" outlineLevel="0" max="3087" min="3086" style="70" width="12.42"/>
    <col collapsed="false" customWidth="true" hidden="false" outlineLevel="0" max="3088" min="3088" style="70" width="1.57"/>
    <col collapsed="false" customWidth="true" hidden="false" outlineLevel="0" max="3089" min="3089" style="70" width="1.71"/>
    <col collapsed="false" customWidth="false" hidden="false" outlineLevel="0" max="3328" min="3090" style="70" width="7.57"/>
    <col collapsed="false" customWidth="true" hidden="false" outlineLevel="0" max="3332" min="3329" style="70" width="1.42"/>
    <col collapsed="false" customWidth="true" hidden="false" outlineLevel="0" max="3333" min="3333" style="70" width="35.85"/>
    <col collapsed="false" customWidth="true" hidden="false" outlineLevel="0" max="3334" min="3334" style="70" width="7.29"/>
    <col collapsed="false" customWidth="true" hidden="false" outlineLevel="0" max="3335" min="3335" style="70" width="1.14"/>
    <col collapsed="false" customWidth="true" hidden="false" outlineLevel="0" max="3336" min="3336" style="70" width="0.71"/>
    <col collapsed="false" customWidth="true" hidden="false" outlineLevel="0" max="3337" min="3337" style="70" width="13.86"/>
    <col collapsed="false" customWidth="true" hidden="false" outlineLevel="0" max="3338" min="3338" style="70" width="0.71"/>
    <col collapsed="false" customWidth="true" hidden="false" outlineLevel="0" max="3339" min="3339" style="70" width="13.86"/>
    <col collapsed="false" customWidth="true" hidden="false" outlineLevel="0" max="3340" min="3340" style="70" width="12.29"/>
    <col collapsed="false" customWidth="true" hidden="false" outlineLevel="0" max="3341" min="3341" style="70" width="8.86"/>
    <col collapsed="false" customWidth="true" hidden="false" outlineLevel="0" max="3343" min="3342" style="70" width="12.42"/>
    <col collapsed="false" customWidth="true" hidden="false" outlineLevel="0" max="3344" min="3344" style="70" width="1.57"/>
    <col collapsed="false" customWidth="true" hidden="false" outlineLevel="0" max="3345" min="3345" style="70" width="1.71"/>
    <col collapsed="false" customWidth="false" hidden="false" outlineLevel="0" max="3584" min="3346" style="70" width="7.57"/>
    <col collapsed="false" customWidth="true" hidden="false" outlineLevel="0" max="3588" min="3585" style="70" width="1.42"/>
    <col collapsed="false" customWidth="true" hidden="false" outlineLevel="0" max="3589" min="3589" style="70" width="35.85"/>
    <col collapsed="false" customWidth="true" hidden="false" outlineLevel="0" max="3590" min="3590" style="70" width="7.29"/>
    <col collapsed="false" customWidth="true" hidden="false" outlineLevel="0" max="3591" min="3591" style="70" width="1.14"/>
    <col collapsed="false" customWidth="true" hidden="false" outlineLevel="0" max="3592" min="3592" style="70" width="0.71"/>
    <col collapsed="false" customWidth="true" hidden="false" outlineLevel="0" max="3593" min="3593" style="70" width="13.86"/>
    <col collapsed="false" customWidth="true" hidden="false" outlineLevel="0" max="3594" min="3594" style="70" width="0.71"/>
    <col collapsed="false" customWidth="true" hidden="false" outlineLevel="0" max="3595" min="3595" style="70" width="13.86"/>
    <col collapsed="false" customWidth="true" hidden="false" outlineLevel="0" max="3596" min="3596" style="70" width="12.29"/>
    <col collapsed="false" customWidth="true" hidden="false" outlineLevel="0" max="3597" min="3597" style="70" width="8.86"/>
    <col collapsed="false" customWidth="true" hidden="false" outlineLevel="0" max="3599" min="3598" style="70" width="12.42"/>
    <col collapsed="false" customWidth="true" hidden="false" outlineLevel="0" max="3600" min="3600" style="70" width="1.57"/>
    <col collapsed="false" customWidth="true" hidden="false" outlineLevel="0" max="3601" min="3601" style="70" width="1.71"/>
    <col collapsed="false" customWidth="false" hidden="false" outlineLevel="0" max="3840" min="3602" style="70" width="7.57"/>
    <col collapsed="false" customWidth="true" hidden="false" outlineLevel="0" max="3844" min="3841" style="70" width="1.42"/>
    <col collapsed="false" customWidth="true" hidden="false" outlineLevel="0" max="3845" min="3845" style="70" width="35.85"/>
    <col collapsed="false" customWidth="true" hidden="false" outlineLevel="0" max="3846" min="3846" style="70" width="7.29"/>
    <col collapsed="false" customWidth="true" hidden="false" outlineLevel="0" max="3847" min="3847" style="70" width="1.14"/>
    <col collapsed="false" customWidth="true" hidden="false" outlineLevel="0" max="3848" min="3848" style="70" width="0.71"/>
    <col collapsed="false" customWidth="true" hidden="false" outlineLevel="0" max="3849" min="3849" style="70" width="13.86"/>
    <col collapsed="false" customWidth="true" hidden="false" outlineLevel="0" max="3850" min="3850" style="70" width="0.71"/>
    <col collapsed="false" customWidth="true" hidden="false" outlineLevel="0" max="3851" min="3851" style="70" width="13.86"/>
    <col collapsed="false" customWidth="true" hidden="false" outlineLevel="0" max="3852" min="3852" style="70" width="12.29"/>
    <col collapsed="false" customWidth="true" hidden="false" outlineLevel="0" max="3853" min="3853" style="70" width="8.86"/>
    <col collapsed="false" customWidth="true" hidden="false" outlineLevel="0" max="3855" min="3854" style="70" width="12.42"/>
    <col collapsed="false" customWidth="true" hidden="false" outlineLevel="0" max="3856" min="3856" style="70" width="1.57"/>
    <col collapsed="false" customWidth="true" hidden="false" outlineLevel="0" max="3857" min="3857" style="70" width="1.71"/>
    <col collapsed="false" customWidth="false" hidden="false" outlineLevel="0" max="4096" min="3858" style="70" width="7.57"/>
    <col collapsed="false" customWidth="true" hidden="false" outlineLevel="0" max="4100" min="4097" style="70" width="1.42"/>
    <col collapsed="false" customWidth="true" hidden="false" outlineLevel="0" max="4101" min="4101" style="70" width="35.85"/>
    <col collapsed="false" customWidth="true" hidden="false" outlineLevel="0" max="4102" min="4102" style="70" width="7.29"/>
    <col collapsed="false" customWidth="true" hidden="false" outlineLevel="0" max="4103" min="4103" style="70" width="1.14"/>
    <col collapsed="false" customWidth="true" hidden="false" outlineLevel="0" max="4104" min="4104" style="70" width="0.71"/>
    <col collapsed="false" customWidth="true" hidden="false" outlineLevel="0" max="4105" min="4105" style="70" width="13.86"/>
    <col collapsed="false" customWidth="true" hidden="false" outlineLevel="0" max="4106" min="4106" style="70" width="0.71"/>
    <col collapsed="false" customWidth="true" hidden="false" outlineLevel="0" max="4107" min="4107" style="70" width="13.86"/>
    <col collapsed="false" customWidth="true" hidden="false" outlineLevel="0" max="4108" min="4108" style="70" width="12.29"/>
    <col collapsed="false" customWidth="true" hidden="false" outlineLevel="0" max="4109" min="4109" style="70" width="8.86"/>
    <col collapsed="false" customWidth="true" hidden="false" outlineLevel="0" max="4111" min="4110" style="70" width="12.42"/>
    <col collapsed="false" customWidth="true" hidden="false" outlineLevel="0" max="4112" min="4112" style="70" width="1.57"/>
    <col collapsed="false" customWidth="true" hidden="false" outlineLevel="0" max="4113" min="4113" style="70" width="1.71"/>
    <col collapsed="false" customWidth="false" hidden="false" outlineLevel="0" max="4352" min="4114" style="70" width="7.57"/>
    <col collapsed="false" customWidth="true" hidden="false" outlineLevel="0" max="4356" min="4353" style="70" width="1.42"/>
    <col collapsed="false" customWidth="true" hidden="false" outlineLevel="0" max="4357" min="4357" style="70" width="35.85"/>
    <col collapsed="false" customWidth="true" hidden="false" outlineLevel="0" max="4358" min="4358" style="70" width="7.29"/>
    <col collapsed="false" customWidth="true" hidden="false" outlineLevel="0" max="4359" min="4359" style="70" width="1.14"/>
    <col collapsed="false" customWidth="true" hidden="false" outlineLevel="0" max="4360" min="4360" style="70" width="0.71"/>
    <col collapsed="false" customWidth="true" hidden="false" outlineLevel="0" max="4361" min="4361" style="70" width="13.86"/>
    <col collapsed="false" customWidth="true" hidden="false" outlineLevel="0" max="4362" min="4362" style="70" width="0.71"/>
    <col collapsed="false" customWidth="true" hidden="false" outlineLevel="0" max="4363" min="4363" style="70" width="13.86"/>
    <col collapsed="false" customWidth="true" hidden="false" outlineLevel="0" max="4364" min="4364" style="70" width="12.29"/>
    <col collapsed="false" customWidth="true" hidden="false" outlineLevel="0" max="4365" min="4365" style="70" width="8.86"/>
    <col collapsed="false" customWidth="true" hidden="false" outlineLevel="0" max="4367" min="4366" style="70" width="12.42"/>
    <col collapsed="false" customWidth="true" hidden="false" outlineLevel="0" max="4368" min="4368" style="70" width="1.57"/>
    <col collapsed="false" customWidth="true" hidden="false" outlineLevel="0" max="4369" min="4369" style="70" width="1.71"/>
    <col collapsed="false" customWidth="false" hidden="false" outlineLevel="0" max="4608" min="4370" style="70" width="7.57"/>
    <col collapsed="false" customWidth="true" hidden="false" outlineLevel="0" max="4612" min="4609" style="70" width="1.42"/>
    <col collapsed="false" customWidth="true" hidden="false" outlineLevel="0" max="4613" min="4613" style="70" width="35.85"/>
    <col collapsed="false" customWidth="true" hidden="false" outlineLevel="0" max="4614" min="4614" style="70" width="7.29"/>
    <col collapsed="false" customWidth="true" hidden="false" outlineLevel="0" max="4615" min="4615" style="70" width="1.14"/>
    <col collapsed="false" customWidth="true" hidden="false" outlineLevel="0" max="4616" min="4616" style="70" width="0.71"/>
    <col collapsed="false" customWidth="true" hidden="false" outlineLevel="0" max="4617" min="4617" style="70" width="13.86"/>
    <col collapsed="false" customWidth="true" hidden="false" outlineLevel="0" max="4618" min="4618" style="70" width="0.71"/>
    <col collapsed="false" customWidth="true" hidden="false" outlineLevel="0" max="4619" min="4619" style="70" width="13.86"/>
    <col collapsed="false" customWidth="true" hidden="false" outlineLevel="0" max="4620" min="4620" style="70" width="12.29"/>
    <col collapsed="false" customWidth="true" hidden="false" outlineLevel="0" max="4621" min="4621" style="70" width="8.86"/>
    <col collapsed="false" customWidth="true" hidden="false" outlineLevel="0" max="4623" min="4622" style="70" width="12.42"/>
    <col collapsed="false" customWidth="true" hidden="false" outlineLevel="0" max="4624" min="4624" style="70" width="1.57"/>
    <col collapsed="false" customWidth="true" hidden="false" outlineLevel="0" max="4625" min="4625" style="70" width="1.71"/>
    <col collapsed="false" customWidth="false" hidden="false" outlineLevel="0" max="4864" min="4626" style="70" width="7.57"/>
    <col collapsed="false" customWidth="true" hidden="false" outlineLevel="0" max="4868" min="4865" style="70" width="1.42"/>
    <col collapsed="false" customWidth="true" hidden="false" outlineLevel="0" max="4869" min="4869" style="70" width="35.85"/>
    <col collapsed="false" customWidth="true" hidden="false" outlineLevel="0" max="4870" min="4870" style="70" width="7.29"/>
    <col collapsed="false" customWidth="true" hidden="false" outlineLevel="0" max="4871" min="4871" style="70" width="1.14"/>
    <col collapsed="false" customWidth="true" hidden="false" outlineLevel="0" max="4872" min="4872" style="70" width="0.71"/>
    <col collapsed="false" customWidth="true" hidden="false" outlineLevel="0" max="4873" min="4873" style="70" width="13.86"/>
    <col collapsed="false" customWidth="true" hidden="false" outlineLevel="0" max="4874" min="4874" style="70" width="0.71"/>
    <col collapsed="false" customWidth="true" hidden="false" outlineLevel="0" max="4875" min="4875" style="70" width="13.86"/>
    <col collapsed="false" customWidth="true" hidden="false" outlineLevel="0" max="4876" min="4876" style="70" width="12.29"/>
    <col collapsed="false" customWidth="true" hidden="false" outlineLevel="0" max="4877" min="4877" style="70" width="8.86"/>
    <col collapsed="false" customWidth="true" hidden="false" outlineLevel="0" max="4879" min="4878" style="70" width="12.42"/>
    <col collapsed="false" customWidth="true" hidden="false" outlineLevel="0" max="4880" min="4880" style="70" width="1.57"/>
    <col collapsed="false" customWidth="true" hidden="false" outlineLevel="0" max="4881" min="4881" style="70" width="1.71"/>
    <col collapsed="false" customWidth="false" hidden="false" outlineLevel="0" max="5120" min="4882" style="70" width="7.57"/>
    <col collapsed="false" customWidth="true" hidden="false" outlineLevel="0" max="5124" min="5121" style="70" width="1.42"/>
    <col collapsed="false" customWidth="true" hidden="false" outlineLevel="0" max="5125" min="5125" style="70" width="35.85"/>
    <col collapsed="false" customWidth="true" hidden="false" outlineLevel="0" max="5126" min="5126" style="70" width="7.29"/>
    <col collapsed="false" customWidth="true" hidden="false" outlineLevel="0" max="5127" min="5127" style="70" width="1.14"/>
    <col collapsed="false" customWidth="true" hidden="false" outlineLevel="0" max="5128" min="5128" style="70" width="0.71"/>
    <col collapsed="false" customWidth="true" hidden="false" outlineLevel="0" max="5129" min="5129" style="70" width="13.86"/>
    <col collapsed="false" customWidth="true" hidden="false" outlineLevel="0" max="5130" min="5130" style="70" width="0.71"/>
    <col collapsed="false" customWidth="true" hidden="false" outlineLevel="0" max="5131" min="5131" style="70" width="13.86"/>
    <col collapsed="false" customWidth="true" hidden="false" outlineLevel="0" max="5132" min="5132" style="70" width="12.29"/>
    <col collapsed="false" customWidth="true" hidden="false" outlineLevel="0" max="5133" min="5133" style="70" width="8.86"/>
    <col collapsed="false" customWidth="true" hidden="false" outlineLevel="0" max="5135" min="5134" style="70" width="12.42"/>
    <col collapsed="false" customWidth="true" hidden="false" outlineLevel="0" max="5136" min="5136" style="70" width="1.57"/>
    <col collapsed="false" customWidth="true" hidden="false" outlineLevel="0" max="5137" min="5137" style="70" width="1.71"/>
    <col collapsed="false" customWidth="false" hidden="false" outlineLevel="0" max="5376" min="5138" style="70" width="7.57"/>
    <col collapsed="false" customWidth="true" hidden="false" outlineLevel="0" max="5380" min="5377" style="70" width="1.42"/>
    <col collapsed="false" customWidth="true" hidden="false" outlineLevel="0" max="5381" min="5381" style="70" width="35.85"/>
    <col collapsed="false" customWidth="true" hidden="false" outlineLevel="0" max="5382" min="5382" style="70" width="7.29"/>
    <col collapsed="false" customWidth="true" hidden="false" outlineLevel="0" max="5383" min="5383" style="70" width="1.14"/>
    <col collapsed="false" customWidth="true" hidden="false" outlineLevel="0" max="5384" min="5384" style="70" width="0.71"/>
    <col collapsed="false" customWidth="true" hidden="false" outlineLevel="0" max="5385" min="5385" style="70" width="13.86"/>
    <col collapsed="false" customWidth="true" hidden="false" outlineLevel="0" max="5386" min="5386" style="70" width="0.71"/>
    <col collapsed="false" customWidth="true" hidden="false" outlineLevel="0" max="5387" min="5387" style="70" width="13.86"/>
    <col collapsed="false" customWidth="true" hidden="false" outlineLevel="0" max="5388" min="5388" style="70" width="12.29"/>
    <col collapsed="false" customWidth="true" hidden="false" outlineLevel="0" max="5389" min="5389" style="70" width="8.86"/>
    <col collapsed="false" customWidth="true" hidden="false" outlineLevel="0" max="5391" min="5390" style="70" width="12.42"/>
    <col collapsed="false" customWidth="true" hidden="false" outlineLevel="0" max="5392" min="5392" style="70" width="1.57"/>
    <col collapsed="false" customWidth="true" hidden="false" outlineLevel="0" max="5393" min="5393" style="70" width="1.71"/>
    <col collapsed="false" customWidth="false" hidden="false" outlineLevel="0" max="5632" min="5394" style="70" width="7.57"/>
    <col collapsed="false" customWidth="true" hidden="false" outlineLevel="0" max="5636" min="5633" style="70" width="1.42"/>
    <col collapsed="false" customWidth="true" hidden="false" outlineLevel="0" max="5637" min="5637" style="70" width="35.85"/>
    <col collapsed="false" customWidth="true" hidden="false" outlineLevel="0" max="5638" min="5638" style="70" width="7.29"/>
    <col collapsed="false" customWidth="true" hidden="false" outlineLevel="0" max="5639" min="5639" style="70" width="1.14"/>
    <col collapsed="false" customWidth="true" hidden="false" outlineLevel="0" max="5640" min="5640" style="70" width="0.71"/>
    <col collapsed="false" customWidth="true" hidden="false" outlineLevel="0" max="5641" min="5641" style="70" width="13.86"/>
    <col collapsed="false" customWidth="true" hidden="false" outlineLevel="0" max="5642" min="5642" style="70" width="0.71"/>
    <col collapsed="false" customWidth="true" hidden="false" outlineLevel="0" max="5643" min="5643" style="70" width="13.86"/>
    <col collapsed="false" customWidth="true" hidden="false" outlineLevel="0" max="5644" min="5644" style="70" width="12.29"/>
    <col collapsed="false" customWidth="true" hidden="false" outlineLevel="0" max="5645" min="5645" style="70" width="8.86"/>
    <col collapsed="false" customWidth="true" hidden="false" outlineLevel="0" max="5647" min="5646" style="70" width="12.42"/>
    <col collapsed="false" customWidth="true" hidden="false" outlineLevel="0" max="5648" min="5648" style="70" width="1.57"/>
    <col collapsed="false" customWidth="true" hidden="false" outlineLevel="0" max="5649" min="5649" style="70" width="1.71"/>
    <col collapsed="false" customWidth="false" hidden="false" outlineLevel="0" max="5888" min="5650" style="70" width="7.57"/>
    <col collapsed="false" customWidth="true" hidden="false" outlineLevel="0" max="5892" min="5889" style="70" width="1.42"/>
    <col collapsed="false" customWidth="true" hidden="false" outlineLevel="0" max="5893" min="5893" style="70" width="35.85"/>
    <col collapsed="false" customWidth="true" hidden="false" outlineLevel="0" max="5894" min="5894" style="70" width="7.29"/>
    <col collapsed="false" customWidth="true" hidden="false" outlineLevel="0" max="5895" min="5895" style="70" width="1.14"/>
    <col collapsed="false" customWidth="true" hidden="false" outlineLevel="0" max="5896" min="5896" style="70" width="0.71"/>
    <col collapsed="false" customWidth="true" hidden="false" outlineLevel="0" max="5897" min="5897" style="70" width="13.86"/>
    <col collapsed="false" customWidth="true" hidden="false" outlineLevel="0" max="5898" min="5898" style="70" width="0.71"/>
    <col collapsed="false" customWidth="true" hidden="false" outlineLevel="0" max="5899" min="5899" style="70" width="13.86"/>
    <col collapsed="false" customWidth="true" hidden="false" outlineLevel="0" max="5900" min="5900" style="70" width="12.29"/>
    <col collapsed="false" customWidth="true" hidden="false" outlineLevel="0" max="5901" min="5901" style="70" width="8.86"/>
    <col collapsed="false" customWidth="true" hidden="false" outlineLevel="0" max="5903" min="5902" style="70" width="12.42"/>
    <col collapsed="false" customWidth="true" hidden="false" outlineLevel="0" max="5904" min="5904" style="70" width="1.57"/>
    <col collapsed="false" customWidth="true" hidden="false" outlineLevel="0" max="5905" min="5905" style="70" width="1.71"/>
    <col collapsed="false" customWidth="false" hidden="false" outlineLevel="0" max="6144" min="5906" style="70" width="7.57"/>
    <col collapsed="false" customWidth="true" hidden="false" outlineLevel="0" max="6148" min="6145" style="70" width="1.42"/>
    <col collapsed="false" customWidth="true" hidden="false" outlineLevel="0" max="6149" min="6149" style="70" width="35.85"/>
    <col collapsed="false" customWidth="true" hidden="false" outlineLevel="0" max="6150" min="6150" style="70" width="7.29"/>
    <col collapsed="false" customWidth="true" hidden="false" outlineLevel="0" max="6151" min="6151" style="70" width="1.14"/>
    <col collapsed="false" customWidth="true" hidden="false" outlineLevel="0" max="6152" min="6152" style="70" width="0.71"/>
    <col collapsed="false" customWidth="true" hidden="false" outlineLevel="0" max="6153" min="6153" style="70" width="13.86"/>
    <col collapsed="false" customWidth="true" hidden="false" outlineLevel="0" max="6154" min="6154" style="70" width="0.71"/>
    <col collapsed="false" customWidth="true" hidden="false" outlineLevel="0" max="6155" min="6155" style="70" width="13.86"/>
    <col collapsed="false" customWidth="true" hidden="false" outlineLevel="0" max="6156" min="6156" style="70" width="12.29"/>
    <col collapsed="false" customWidth="true" hidden="false" outlineLevel="0" max="6157" min="6157" style="70" width="8.86"/>
    <col collapsed="false" customWidth="true" hidden="false" outlineLevel="0" max="6159" min="6158" style="70" width="12.42"/>
    <col collapsed="false" customWidth="true" hidden="false" outlineLevel="0" max="6160" min="6160" style="70" width="1.57"/>
    <col collapsed="false" customWidth="true" hidden="false" outlineLevel="0" max="6161" min="6161" style="70" width="1.71"/>
    <col collapsed="false" customWidth="false" hidden="false" outlineLevel="0" max="6400" min="6162" style="70" width="7.57"/>
    <col collapsed="false" customWidth="true" hidden="false" outlineLevel="0" max="6404" min="6401" style="70" width="1.42"/>
    <col collapsed="false" customWidth="true" hidden="false" outlineLevel="0" max="6405" min="6405" style="70" width="35.85"/>
    <col collapsed="false" customWidth="true" hidden="false" outlineLevel="0" max="6406" min="6406" style="70" width="7.29"/>
    <col collapsed="false" customWidth="true" hidden="false" outlineLevel="0" max="6407" min="6407" style="70" width="1.14"/>
    <col collapsed="false" customWidth="true" hidden="false" outlineLevel="0" max="6408" min="6408" style="70" width="0.71"/>
    <col collapsed="false" customWidth="true" hidden="false" outlineLevel="0" max="6409" min="6409" style="70" width="13.86"/>
    <col collapsed="false" customWidth="true" hidden="false" outlineLevel="0" max="6410" min="6410" style="70" width="0.71"/>
    <col collapsed="false" customWidth="true" hidden="false" outlineLevel="0" max="6411" min="6411" style="70" width="13.86"/>
    <col collapsed="false" customWidth="true" hidden="false" outlineLevel="0" max="6412" min="6412" style="70" width="12.29"/>
    <col collapsed="false" customWidth="true" hidden="false" outlineLevel="0" max="6413" min="6413" style="70" width="8.86"/>
    <col collapsed="false" customWidth="true" hidden="false" outlineLevel="0" max="6415" min="6414" style="70" width="12.42"/>
    <col collapsed="false" customWidth="true" hidden="false" outlineLevel="0" max="6416" min="6416" style="70" width="1.57"/>
    <col collapsed="false" customWidth="true" hidden="false" outlineLevel="0" max="6417" min="6417" style="70" width="1.71"/>
    <col collapsed="false" customWidth="false" hidden="false" outlineLevel="0" max="6656" min="6418" style="70" width="7.57"/>
    <col collapsed="false" customWidth="true" hidden="false" outlineLevel="0" max="6660" min="6657" style="70" width="1.42"/>
    <col collapsed="false" customWidth="true" hidden="false" outlineLevel="0" max="6661" min="6661" style="70" width="35.85"/>
    <col collapsed="false" customWidth="true" hidden="false" outlineLevel="0" max="6662" min="6662" style="70" width="7.29"/>
    <col collapsed="false" customWidth="true" hidden="false" outlineLevel="0" max="6663" min="6663" style="70" width="1.14"/>
    <col collapsed="false" customWidth="true" hidden="false" outlineLevel="0" max="6664" min="6664" style="70" width="0.71"/>
    <col collapsed="false" customWidth="true" hidden="false" outlineLevel="0" max="6665" min="6665" style="70" width="13.86"/>
    <col collapsed="false" customWidth="true" hidden="false" outlineLevel="0" max="6666" min="6666" style="70" width="0.71"/>
    <col collapsed="false" customWidth="true" hidden="false" outlineLevel="0" max="6667" min="6667" style="70" width="13.86"/>
    <col collapsed="false" customWidth="true" hidden="false" outlineLevel="0" max="6668" min="6668" style="70" width="12.29"/>
    <col collapsed="false" customWidth="true" hidden="false" outlineLevel="0" max="6669" min="6669" style="70" width="8.86"/>
    <col collapsed="false" customWidth="true" hidden="false" outlineLevel="0" max="6671" min="6670" style="70" width="12.42"/>
    <col collapsed="false" customWidth="true" hidden="false" outlineLevel="0" max="6672" min="6672" style="70" width="1.57"/>
    <col collapsed="false" customWidth="true" hidden="false" outlineLevel="0" max="6673" min="6673" style="70" width="1.71"/>
    <col collapsed="false" customWidth="false" hidden="false" outlineLevel="0" max="6912" min="6674" style="70" width="7.57"/>
    <col collapsed="false" customWidth="true" hidden="false" outlineLevel="0" max="6916" min="6913" style="70" width="1.42"/>
    <col collapsed="false" customWidth="true" hidden="false" outlineLevel="0" max="6917" min="6917" style="70" width="35.85"/>
    <col collapsed="false" customWidth="true" hidden="false" outlineLevel="0" max="6918" min="6918" style="70" width="7.29"/>
    <col collapsed="false" customWidth="true" hidden="false" outlineLevel="0" max="6919" min="6919" style="70" width="1.14"/>
    <col collapsed="false" customWidth="true" hidden="false" outlineLevel="0" max="6920" min="6920" style="70" width="0.71"/>
    <col collapsed="false" customWidth="true" hidden="false" outlineLevel="0" max="6921" min="6921" style="70" width="13.86"/>
    <col collapsed="false" customWidth="true" hidden="false" outlineLevel="0" max="6922" min="6922" style="70" width="0.71"/>
    <col collapsed="false" customWidth="true" hidden="false" outlineLevel="0" max="6923" min="6923" style="70" width="13.86"/>
    <col collapsed="false" customWidth="true" hidden="false" outlineLevel="0" max="6924" min="6924" style="70" width="12.29"/>
    <col collapsed="false" customWidth="true" hidden="false" outlineLevel="0" max="6925" min="6925" style="70" width="8.86"/>
    <col collapsed="false" customWidth="true" hidden="false" outlineLevel="0" max="6927" min="6926" style="70" width="12.42"/>
    <col collapsed="false" customWidth="true" hidden="false" outlineLevel="0" max="6928" min="6928" style="70" width="1.57"/>
    <col collapsed="false" customWidth="true" hidden="false" outlineLevel="0" max="6929" min="6929" style="70" width="1.71"/>
    <col collapsed="false" customWidth="false" hidden="false" outlineLevel="0" max="7168" min="6930" style="70" width="7.57"/>
    <col collapsed="false" customWidth="true" hidden="false" outlineLevel="0" max="7172" min="7169" style="70" width="1.42"/>
    <col collapsed="false" customWidth="true" hidden="false" outlineLevel="0" max="7173" min="7173" style="70" width="35.85"/>
    <col collapsed="false" customWidth="true" hidden="false" outlineLevel="0" max="7174" min="7174" style="70" width="7.29"/>
    <col collapsed="false" customWidth="true" hidden="false" outlineLevel="0" max="7175" min="7175" style="70" width="1.14"/>
    <col collapsed="false" customWidth="true" hidden="false" outlineLevel="0" max="7176" min="7176" style="70" width="0.71"/>
    <col collapsed="false" customWidth="true" hidden="false" outlineLevel="0" max="7177" min="7177" style="70" width="13.86"/>
    <col collapsed="false" customWidth="true" hidden="false" outlineLevel="0" max="7178" min="7178" style="70" width="0.71"/>
    <col collapsed="false" customWidth="true" hidden="false" outlineLevel="0" max="7179" min="7179" style="70" width="13.86"/>
    <col collapsed="false" customWidth="true" hidden="false" outlineLevel="0" max="7180" min="7180" style="70" width="12.29"/>
    <col collapsed="false" customWidth="true" hidden="false" outlineLevel="0" max="7181" min="7181" style="70" width="8.86"/>
    <col collapsed="false" customWidth="true" hidden="false" outlineLevel="0" max="7183" min="7182" style="70" width="12.42"/>
    <col collapsed="false" customWidth="true" hidden="false" outlineLevel="0" max="7184" min="7184" style="70" width="1.57"/>
    <col collapsed="false" customWidth="true" hidden="false" outlineLevel="0" max="7185" min="7185" style="70" width="1.71"/>
    <col collapsed="false" customWidth="false" hidden="false" outlineLevel="0" max="7424" min="7186" style="70" width="7.57"/>
    <col collapsed="false" customWidth="true" hidden="false" outlineLevel="0" max="7428" min="7425" style="70" width="1.42"/>
    <col collapsed="false" customWidth="true" hidden="false" outlineLevel="0" max="7429" min="7429" style="70" width="35.85"/>
    <col collapsed="false" customWidth="true" hidden="false" outlineLevel="0" max="7430" min="7430" style="70" width="7.29"/>
    <col collapsed="false" customWidth="true" hidden="false" outlineLevel="0" max="7431" min="7431" style="70" width="1.14"/>
    <col collapsed="false" customWidth="true" hidden="false" outlineLevel="0" max="7432" min="7432" style="70" width="0.71"/>
    <col collapsed="false" customWidth="true" hidden="false" outlineLevel="0" max="7433" min="7433" style="70" width="13.86"/>
    <col collapsed="false" customWidth="true" hidden="false" outlineLevel="0" max="7434" min="7434" style="70" width="0.71"/>
    <col collapsed="false" customWidth="true" hidden="false" outlineLevel="0" max="7435" min="7435" style="70" width="13.86"/>
    <col collapsed="false" customWidth="true" hidden="false" outlineLevel="0" max="7436" min="7436" style="70" width="12.29"/>
    <col collapsed="false" customWidth="true" hidden="false" outlineLevel="0" max="7437" min="7437" style="70" width="8.86"/>
    <col collapsed="false" customWidth="true" hidden="false" outlineLevel="0" max="7439" min="7438" style="70" width="12.42"/>
    <col collapsed="false" customWidth="true" hidden="false" outlineLevel="0" max="7440" min="7440" style="70" width="1.57"/>
    <col collapsed="false" customWidth="true" hidden="false" outlineLevel="0" max="7441" min="7441" style="70" width="1.71"/>
    <col collapsed="false" customWidth="false" hidden="false" outlineLevel="0" max="7680" min="7442" style="70" width="7.57"/>
    <col collapsed="false" customWidth="true" hidden="false" outlineLevel="0" max="7684" min="7681" style="70" width="1.42"/>
    <col collapsed="false" customWidth="true" hidden="false" outlineLevel="0" max="7685" min="7685" style="70" width="35.85"/>
    <col collapsed="false" customWidth="true" hidden="false" outlineLevel="0" max="7686" min="7686" style="70" width="7.29"/>
    <col collapsed="false" customWidth="true" hidden="false" outlineLevel="0" max="7687" min="7687" style="70" width="1.14"/>
    <col collapsed="false" customWidth="true" hidden="false" outlineLevel="0" max="7688" min="7688" style="70" width="0.71"/>
    <col collapsed="false" customWidth="true" hidden="false" outlineLevel="0" max="7689" min="7689" style="70" width="13.86"/>
    <col collapsed="false" customWidth="true" hidden="false" outlineLevel="0" max="7690" min="7690" style="70" width="0.71"/>
    <col collapsed="false" customWidth="true" hidden="false" outlineLevel="0" max="7691" min="7691" style="70" width="13.86"/>
    <col collapsed="false" customWidth="true" hidden="false" outlineLevel="0" max="7692" min="7692" style="70" width="12.29"/>
    <col collapsed="false" customWidth="true" hidden="false" outlineLevel="0" max="7693" min="7693" style="70" width="8.86"/>
    <col collapsed="false" customWidth="true" hidden="false" outlineLevel="0" max="7695" min="7694" style="70" width="12.42"/>
    <col collapsed="false" customWidth="true" hidden="false" outlineLevel="0" max="7696" min="7696" style="70" width="1.57"/>
    <col collapsed="false" customWidth="true" hidden="false" outlineLevel="0" max="7697" min="7697" style="70" width="1.71"/>
    <col collapsed="false" customWidth="false" hidden="false" outlineLevel="0" max="7936" min="7698" style="70" width="7.57"/>
    <col collapsed="false" customWidth="true" hidden="false" outlineLevel="0" max="7940" min="7937" style="70" width="1.42"/>
    <col collapsed="false" customWidth="true" hidden="false" outlineLevel="0" max="7941" min="7941" style="70" width="35.85"/>
    <col collapsed="false" customWidth="true" hidden="false" outlineLevel="0" max="7942" min="7942" style="70" width="7.29"/>
    <col collapsed="false" customWidth="true" hidden="false" outlineLevel="0" max="7943" min="7943" style="70" width="1.14"/>
    <col collapsed="false" customWidth="true" hidden="false" outlineLevel="0" max="7944" min="7944" style="70" width="0.71"/>
    <col collapsed="false" customWidth="true" hidden="false" outlineLevel="0" max="7945" min="7945" style="70" width="13.86"/>
    <col collapsed="false" customWidth="true" hidden="false" outlineLevel="0" max="7946" min="7946" style="70" width="0.71"/>
    <col collapsed="false" customWidth="true" hidden="false" outlineLevel="0" max="7947" min="7947" style="70" width="13.86"/>
    <col collapsed="false" customWidth="true" hidden="false" outlineLevel="0" max="7948" min="7948" style="70" width="12.29"/>
    <col collapsed="false" customWidth="true" hidden="false" outlineLevel="0" max="7949" min="7949" style="70" width="8.86"/>
    <col collapsed="false" customWidth="true" hidden="false" outlineLevel="0" max="7951" min="7950" style="70" width="12.42"/>
    <col collapsed="false" customWidth="true" hidden="false" outlineLevel="0" max="7952" min="7952" style="70" width="1.57"/>
    <col collapsed="false" customWidth="true" hidden="false" outlineLevel="0" max="7953" min="7953" style="70" width="1.71"/>
    <col collapsed="false" customWidth="false" hidden="false" outlineLevel="0" max="8192" min="7954" style="70" width="7.57"/>
    <col collapsed="false" customWidth="true" hidden="false" outlineLevel="0" max="8196" min="8193" style="70" width="1.42"/>
    <col collapsed="false" customWidth="true" hidden="false" outlineLevel="0" max="8197" min="8197" style="70" width="35.85"/>
    <col collapsed="false" customWidth="true" hidden="false" outlineLevel="0" max="8198" min="8198" style="70" width="7.29"/>
    <col collapsed="false" customWidth="true" hidden="false" outlineLevel="0" max="8199" min="8199" style="70" width="1.14"/>
    <col collapsed="false" customWidth="true" hidden="false" outlineLevel="0" max="8200" min="8200" style="70" width="0.71"/>
    <col collapsed="false" customWidth="true" hidden="false" outlineLevel="0" max="8201" min="8201" style="70" width="13.86"/>
    <col collapsed="false" customWidth="true" hidden="false" outlineLevel="0" max="8202" min="8202" style="70" width="0.71"/>
    <col collapsed="false" customWidth="true" hidden="false" outlineLevel="0" max="8203" min="8203" style="70" width="13.86"/>
    <col collapsed="false" customWidth="true" hidden="false" outlineLevel="0" max="8204" min="8204" style="70" width="12.29"/>
    <col collapsed="false" customWidth="true" hidden="false" outlineLevel="0" max="8205" min="8205" style="70" width="8.86"/>
    <col collapsed="false" customWidth="true" hidden="false" outlineLevel="0" max="8207" min="8206" style="70" width="12.42"/>
    <col collapsed="false" customWidth="true" hidden="false" outlineLevel="0" max="8208" min="8208" style="70" width="1.57"/>
    <col collapsed="false" customWidth="true" hidden="false" outlineLevel="0" max="8209" min="8209" style="70" width="1.71"/>
    <col collapsed="false" customWidth="false" hidden="false" outlineLevel="0" max="8448" min="8210" style="70" width="7.57"/>
    <col collapsed="false" customWidth="true" hidden="false" outlineLevel="0" max="8452" min="8449" style="70" width="1.42"/>
    <col collapsed="false" customWidth="true" hidden="false" outlineLevel="0" max="8453" min="8453" style="70" width="35.85"/>
    <col collapsed="false" customWidth="true" hidden="false" outlineLevel="0" max="8454" min="8454" style="70" width="7.29"/>
    <col collapsed="false" customWidth="true" hidden="false" outlineLevel="0" max="8455" min="8455" style="70" width="1.14"/>
    <col collapsed="false" customWidth="true" hidden="false" outlineLevel="0" max="8456" min="8456" style="70" width="0.71"/>
    <col collapsed="false" customWidth="true" hidden="false" outlineLevel="0" max="8457" min="8457" style="70" width="13.86"/>
    <col collapsed="false" customWidth="true" hidden="false" outlineLevel="0" max="8458" min="8458" style="70" width="0.71"/>
    <col collapsed="false" customWidth="true" hidden="false" outlineLevel="0" max="8459" min="8459" style="70" width="13.86"/>
    <col collapsed="false" customWidth="true" hidden="false" outlineLevel="0" max="8460" min="8460" style="70" width="12.29"/>
    <col collapsed="false" customWidth="true" hidden="false" outlineLevel="0" max="8461" min="8461" style="70" width="8.86"/>
    <col collapsed="false" customWidth="true" hidden="false" outlineLevel="0" max="8463" min="8462" style="70" width="12.42"/>
    <col collapsed="false" customWidth="true" hidden="false" outlineLevel="0" max="8464" min="8464" style="70" width="1.57"/>
    <col collapsed="false" customWidth="true" hidden="false" outlineLevel="0" max="8465" min="8465" style="70" width="1.71"/>
    <col collapsed="false" customWidth="false" hidden="false" outlineLevel="0" max="8704" min="8466" style="70" width="7.57"/>
    <col collapsed="false" customWidth="true" hidden="false" outlineLevel="0" max="8708" min="8705" style="70" width="1.42"/>
    <col collapsed="false" customWidth="true" hidden="false" outlineLevel="0" max="8709" min="8709" style="70" width="35.85"/>
    <col collapsed="false" customWidth="true" hidden="false" outlineLevel="0" max="8710" min="8710" style="70" width="7.29"/>
    <col collapsed="false" customWidth="true" hidden="false" outlineLevel="0" max="8711" min="8711" style="70" width="1.14"/>
    <col collapsed="false" customWidth="true" hidden="false" outlineLevel="0" max="8712" min="8712" style="70" width="0.71"/>
    <col collapsed="false" customWidth="true" hidden="false" outlineLevel="0" max="8713" min="8713" style="70" width="13.86"/>
    <col collapsed="false" customWidth="true" hidden="false" outlineLevel="0" max="8714" min="8714" style="70" width="0.71"/>
    <col collapsed="false" customWidth="true" hidden="false" outlineLevel="0" max="8715" min="8715" style="70" width="13.86"/>
    <col collapsed="false" customWidth="true" hidden="false" outlineLevel="0" max="8716" min="8716" style="70" width="12.29"/>
    <col collapsed="false" customWidth="true" hidden="false" outlineLevel="0" max="8717" min="8717" style="70" width="8.86"/>
    <col collapsed="false" customWidth="true" hidden="false" outlineLevel="0" max="8719" min="8718" style="70" width="12.42"/>
    <col collapsed="false" customWidth="true" hidden="false" outlineLevel="0" max="8720" min="8720" style="70" width="1.57"/>
    <col collapsed="false" customWidth="true" hidden="false" outlineLevel="0" max="8721" min="8721" style="70" width="1.71"/>
    <col collapsed="false" customWidth="false" hidden="false" outlineLevel="0" max="8960" min="8722" style="70" width="7.57"/>
    <col collapsed="false" customWidth="true" hidden="false" outlineLevel="0" max="8964" min="8961" style="70" width="1.42"/>
    <col collapsed="false" customWidth="true" hidden="false" outlineLevel="0" max="8965" min="8965" style="70" width="35.85"/>
    <col collapsed="false" customWidth="true" hidden="false" outlineLevel="0" max="8966" min="8966" style="70" width="7.29"/>
    <col collapsed="false" customWidth="true" hidden="false" outlineLevel="0" max="8967" min="8967" style="70" width="1.14"/>
    <col collapsed="false" customWidth="true" hidden="false" outlineLevel="0" max="8968" min="8968" style="70" width="0.71"/>
    <col collapsed="false" customWidth="true" hidden="false" outlineLevel="0" max="8969" min="8969" style="70" width="13.86"/>
    <col collapsed="false" customWidth="true" hidden="false" outlineLevel="0" max="8970" min="8970" style="70" width="0.71"/>
    <col collapsed="false" customWidth="true" hidden="false" outlineLevel="0" max="8971" min="8971" style="70" width="13.86"/>
    <col collapsed="false" customWidth="true" hidden="false" outlineLevel="0" max="8972" min="8972" style="70" width="12.29"/>
    <col collapsed="false" customWidth="true" hidden="false" outlineLevel="0" max="8973" min="8973" style="70" width="8.86"/>
    <col collapsed="false" customWidth="true" hidden="false" outlineLevel="0" max="8975" min="8974" style="70" width="12.42"/>
    <col collapsed="false" customWidth="true" hidden="false" outlineLevel="0" max="8976" min="8976" style="70" width="1.57"/>
    <col collapsed="false" customWidth="true" hidden="false" outlineLevel="0" max="8977" min="8977" style="70" width="1.71"/>
    <col collapsed="false" customWidth="false" hidden="false" outlineLevel="0" max="9216" min="8978" style="70" width="7.57"/>
    <col collapsed="false" customWidth="true" hidden="false" outlineLevel="0" max="9220" min="9217" style="70" width="1.42"/>
    <col collapsed="false" customWidth="true" hidden="false" outlineLevel="0" max="9221" min="9221" style="70" width="35.85"/>
    <col collapsed="false" customWidth="true" hidden="false" outlineLevel="0" max="9222" min="9222" style="70" width="7.29"/>
    <col collapsed="false" customWidth="true" hidden="false" outlineLevel="0" max="9223" min="9223" style="70" width="1.14"/>
    <col collapsed="false" customWidth="true" hidden="false" outlineLevel="0" max="9224" min="9224" style="70" width="0.71"/>
    <col collapsed="false" customWidth="true" hidden="false" outlineLevel="0" max="9225" min="9225" style="70" width="13.86"/>
    <col collapsed="false" customWidth="true" hidden="false" outlineLevel="0" max="9226" min="9226" style="70" width="0.71"/>
    <col collapsed="false" customWidth="true" hidden="false" outlineLevel="0" max="9227" min="9227" style="70" width="13.86"/>
    <col collapsed="false" customWidth="true" hidden="false" outlineLevel="0" max="9228" min="9228" style="70" width="12.29"/>
    <col collapsed="false" customWidth="true" hidden="false" outlineLevel="0" max="9229" min="9229" style="70" width="8.86"/>
    <col collapsed="false" customWidth="true" hidden="false" outlineLevel="0" max="9231" min="9230" style="70" width="12.42"/>
    <col collapsed="false" customWidth="true" hidden="false" outlineLevel="0" max="9232" min="9232" style="70" width="1.57"/>
    <col collapsed="false" customWidth="true" hidden="false" outlineLevel="0" max="9233" min="9233" style="70" width="1.71"/>
    <col collapsed="false" customWidth="false" hidden="false" outlineLevel="0" max="9472" min="9234" style="70" width="7.57"/>
    <col collapsed="false" customWidth="true" hidden="false" outlineLevel="0" max="9476" min="9473" style="70" width="1.42"/>
    <col collapsed="false" customWidth="true" hidden="false" outlineLevel="0" max="9477" min="9477" style="70" width="35.85"/>
    <col collapsed="false" customWidth="true" hidden="false" outlineLevel="0" max="9478" min="9478" style="70" width="7.29"/>
    <col collapsed="false" customWidth="true" hidden="false" outlineLevel="0" max="9479" min="9479" style="70" width="1.14"/>
    <col collapsed="false" customWidth="true" hidden="false" outlineLevel="0" max="9480" min="9480" style="70" width="0.71"/>
    <col collapsed="false" customWidth="true" hidden="false" outlineLevel="0" max="9481" min="9481" style="70" width="13.86"/>
    <col collapsed="false" customWidth="true" hidden="false" outlineLevel="0" max="9482" min="9482" style="70" width="0.71"/>
    <col collapsed="false" customWidth="true" hidden="false" outlineLevel="0" max="9483" min="9483" style="70" width="13.86"/>
    <col collapsed="false" customWidth="true" hidden="false" outlineLevel="0" max="9484" min="9484" style="70" width="12.29"/>
    <col collapsed="false" customWidth="true" hidden="false" outlineLevel="0" max="9485" min="9485" style="70" width="8.86"/>
    <col collapsed="false" customWidth="true" hidden="false" outlineLevel="0" max="9487" min="9486" style="70" width="12.42"/>
    <col collapsed="false" customWidth="true" hidden="false" outlineLevel="0" max="9488" min="9488" style="70" width="1.57"/>
    <col collapsed="false" customWidth="true" hidden="false" outlineLevel="0" max="9489" min="9489" style="70" width="1.71"/>
    <col collapsed="false" customWidth="false" hidden="false" outlineLevel="0" max="9728" min="9490" style="70" width="7.57"/>
    <col collapsed="false" customWidth="true" hidden="false" outlineLevel="0" max="9732" min="9729" style="70" width="1.42"/>
    <col collapsed="false" customWidth="true" hidden="false" outlineLevel="0" max="9733" min="9733" style="70" width="35.85"/>
    <col collapsed="false" customWidth="true" hidden="false" outlineLevel="0" max="9734" min="9734" style="70" width="7.29"/>
    <col collapsed="false" customWidth="true" hidden="false" outlineLevel="0" max="9735" min="9735" style="70" width="1.14"/>
    <col collapsed="false" customWidth="true" hidden="false" outlineLevel="0" max="9736" min="9736" style="70" width="0.71"/>
    <col collapsed="false" customWidth="true" hidden="false" outlineLevel="0" max="9737" min="9737" style="70" width="13.86"/>
    <col collapsed="false" customWidth="true" hidden="false" outlineLevel="0" max="9738" min="9738" style="70" width="0.71"/>
    <col collapsed="false" customWidth="true" hidden="false" outlineLevel="0" max="9739" min="9739" style="70" width="13.86"/>
    <col collapsed="false" customWidth="true" hidden="false" outlineLevel="0" max="9740" min="9740" style="70" width="12.29"/>
    <col collapsed="false" customWidth="true" hidden="false" outlineLevel="0" max="9741" min="9741" style="70" width="8.86"/>
    <col collapsed="false" customWidth="true" hidden="false" outlineLevel="0" max="9743" min="9742" style="70" width="12.42"/>
    <col collapsed="false" customWidth="true" hidden="false" outlineLevel="0" max="9744" min="9744" style="70" width="1.57"/>
    <col collapsed="false" customWidth="true" hidden="false" outlineLevel="0" max="9745" min="9745" style="70" width="1.71"/>
    <col collapsed="false" customWidth="false" hidden="false" outlineLevel="0" max="9984" min="9746" style="70" width="7.57"/>
    <col collapsed="false" customWidth="true" hidden="false" outlineLevel="0" max="9988" min="9985" style="70" width="1.42"/>
    <col collapsed="false" customWidth="true" hidden="false" outlineLevel="0" max="9989" min="9989" style="70" width="35.85"/>
    <col collapsed="false" customWidth="true" hidden="false" outlineLevel="0" max="9990" min="9990" style="70" width="7.29"/>
    <col collapsed="false" customWidth="true" hidden="false" outlineLevel="0" max="9991" min="9991" style="70" width="1.14"/>
    <col collapsed="false" customWidth="true" hidden="false" outlineLevel="0" max="9992" min="9992" style="70" width="0.71"/>
    <col collapsed="false" customWidth="true" hidden="false" outlineLevel="0" max="9993" min="9993" style="70" width="13.86"/>
    <col collapsed="false" customWidth="true" hidden="false" outlineLevel="0" max="9994" min="9994" style="70" width="0.71"/>
    <col collapsed="false" customWidth="true" hidden="false" outlineLevel="0" max="9995" min="9995" style="70" width="13.86"/>
    <col collapsed="false" customWidth="true" hidden="false" outlineLevel="0" max="9996" min="9996" style="70" width="12.29"/>
    <col collapsed="false" customWidth="true" hidden="false" outlineLevel="0" max="9997" min="9997" style="70" width="8.86"/>
    <col collapsed="false" customWidth="true" hidden="false" outlineLevel="0" max="9999" min="9998" style="70" width="12.42"/>
    <col collapsed="false" customWidth="true" hidden="false" outlineLevel="0" max="10000" min="10000" style="70" width="1.57"/>
    <col collapsed="false" customWidth="true" hidden="false" outlineLevel="0" max="10001" min="10001" style="70" width="1.71"/>
    <col collapsed="false" customWidth="false" hidden="false" outlineLevel="0" max="10240" min="10002" style="70" width="7.57"/>
    <col collapsed="false" customWidth="true" hidden="false" outlineLevel="0" max="10244" min="10241" style="70" width="1.42"/>
    <col collapsed="false" customWidth="true" hidden="false" outlineLevel="0" max="10245" min="10245" style="70" width="35.85"/>
    <col collapsed="false" customWidth="true" hidden="false" outlineLevel="0" max="10246" min="10246" style="70" width="7.29"/>
    <col collapsed="false" customWidth="true" hidden="false" outlineLevel="0" max="10247" min="10247" style="70" width="1.14"/>
    <col collapsed="false" customWidth="true" hidden="false" outlineLevel="0" max="10248" min="10248" style="70" width="0.71"/>
    <col collapsed="false" customWidth="true" hidden="false" outlineLevel="0" max="10249" min="10249" style="70" width="13.86"/>
    <col collapsed="false" customWidth="true" hidden="false" outlineLevel="0" max="10250" min="10250" style="70" width="0.71"/>
    <col collapsed="false" customWidth="true" hidden="false" outlineLevel="0" max="10251" min="10251" style="70" width="13.86"/>
    <col collapsed="false" customWidth="true" hidden="false" outlineLevel="0" max="10252" min="10252" style="70" width="12.29"/>
    <col collapsed="false" customWidth="true" hidden="false" outlineLevel="0" max="10253" min="10253" style="70" width="8.86"/>
    <col collapsed="false" customWidth="true" hidden="false" outlineLevel="0" max="10255" min="10254" style="70" width="12.42"/>
    <col collapsed="false" customWidth="true" hidden="false" outlineLevel="0" max="10256" min="10256" style="70" width="1.57"/>
    <col collapsed="false" customWidth="true" hidden="false" outlineLevel="0" max="10257" min="10257" style="70" width="1.71"/>
    <col collapsed="false" customWidth="false" hidden="false" outlineLevel="0" max="10496" min="10258" style="70" width="7.57"/>
    <col collapsed="false" customWidth="true" hidden="false" outlineLevel="0" max="10500" min="10497" style="70" width="1.42"/>
    <col collapsed="false" customWidth="true" hidden="false" outlineLevel="0" max="10501" min="10501" style="70" width="35.85"/>
    <col collapsed="false" customWidth="true" hidden="false" outlineLevel="0" max="10502" min="10502" style="70" width="7.29"/>
    <col collapsed="false" customWidth="true" hidden="false" outlineLevel="0" max="10503" min="10503" style="70" width="1.14"/>
    <col collapsed="false" customWidth="true" hidden="false" outlineLevel="0" max="10504" min="10504" style="70" width="0.71"/>
    <col collapsed="false" customWidth="true" hidden="false" outlineLevel="0" max="10505" min="10505" style="70" width="13.86"/>
    <col collapsed="false" customWidth="true" hidden="false" outlineLevel="0" max="10506" min="10506" style="70" width="0.71"/>
    <col collapsed="false" customWidth="true" hidden="false" outlineLevel="0" max="10507" min="10507" style="70" width="13.86"/>
    <col collapsed="false" customWidth="true" hidden="false" outlineLevel="0" max="10508" min="10508" style="70" width="12.29"/>
    <col collapsed="false" customWidth="true" hidden="false" outlineLevel="0" max="10509" min="10509" style="70" width="8.86"/>
    <col collapsed="false" customWidth="true" hidden="false" outlineLevel="0" max="10511" min="10510" style="70" width="12.42"/>
    <col collapsed="false" customWidth="true" hidden="false" outlineLevel="0" max="10512" min="10512" style="70" width="1.57"/>
    <col collapsed="false" customWidth="true" hidden="false" outlineLevel="0" max="10513" min="10513" style="70" width="1.71"/>
    <col collapsed="false" customWidth="false" hidden="false" outlineLevel="0" max="10752" min="10514" style="70" width="7.57"/>
    <col collapsed="false" customWidth="true" hidden="false" outlineLevel="0" max="10756" min="10753" style="70" width="1.42"/>
    <col collapsed="false" customWidth="true" hidden="false" outlineLevel="0" max="10757" min="10757" style="70" width="35.85"/>
    <col collapsed="false" customWidth="true" hidden="false" outlineLevel="0" max="10758" min="10758" style="70" width="7.29"/>
    <col collapsed="false" customWidth="true" hidden="false" outlineLevel="0" max="10759" min="10759" style="70" width="1.14"/>
    <col collapsed="false" customWidth="true" hidden="false" outlineLevel="0" max="10760" min="10760" style="70" width="0.71"/>
    <col collapsed="false" customWidth="true" hidden="false" outlineLevel="0" max="10761" min="10761" style="70" width="13.86"/>
    <col collapsed="false" customWidth="true" hidden="false" outlineLevel="0" max="10762" min="10762" style="70" width="0.71"/>
    <col collapsed="false" customWidth="true" hidden="false" outlineLevel="0" max="10763" min="10763" style="70" width="13.86"/>
    <col collapsed="false" customWidth="true" hidden="false" outlineLevel="0" max="10764" min="10764" style="70" width="12.29"/>
    <col collapsed="false" customWidth="true" hidden="false" outlineLevel="0" max="10765" min="10765" style="70" width="8.86"/>
    <col collapsed="false" customWidth="true" hidden="false" outlineLevel="0" max="10767" min="10766" style="70" width="12.42"/>
    <col collapsed="false" customWidth="true" hidden="false" outlineLevel="0" max="10768" min="10768" style="70" width="1.57"/>
    <col collapsed="false" customWidth="true" hidden="false" outlineLevel="0" max="10769" min="10769" style="70" width="1.71"/>
    <col collapsed="false" customWidth="false" hidden="false" outlineLevel="0" max="11008" min="10770" style="70" width="7.57"/>
    <col collapsed="false" customWidth="true" hidden="false" outlineLevel="0" max="11012" min="11009" style="70" width="1.42"/>
    <col collapsed="false" customWidth="true" hidden="false" outlineLevel="0" max="11013" min="11013" style="70" width="35.85"/>
    <col collapsed="false" customWidth="true" hidden="false" outlineLevel="0" max="11014" min="11014" style="70" width="7.29"/>
    <col collapsed="false" customWidth="true" hidden="false" outlineLevel="0" max="11015" min="11015" style="70" width="1.14"/>
    <col collapsed="false" customWidth="true" hidden="false" outlineLevel="0" max="11016" min="11016" style="70" width="0.71"/>
    <col collapsed="false" customWidth="true" hidden="false" outlineLevel="0" max="11017" min="11017" style="70" width="13.86"/>
    <col collapsed="false" customWidth="true" hidden="false" outlineLevel="0" max="11018" min="11018" style="70" width="0.71"/>
    <col collapsed="false" customWidth="true" hidden="false" outlineLevel="0" max="11019" min="11019" style="70" width="13.86"/>
    <col collapsed="false" customWidth="true" hidden="false" outlineLevel="0" max="11020" min="11020" style="70" width="12.29"/>
    <col collapsed="false" customWidth="true" hidden="false" outlineLevel="0" max="11021" min="11021" style="70" width="8.86"/>
    <col collapsed="false" customWidth="true" hidden="false" outlineLevel="0" max="11023" min="11022" style="70" width="12.42"/>
    <col collapsed="false" customWidth="true" hidden="false" outlineLevel="0" max="11024" min="11024" style="70" width="1.57"/>
    <col collapsed="false" customWidth="true" hidden="false" outlineLevel="0" max="11025" min="11025" style="70" width="1.71"/>
    <col collapsed="false" customWidth="false" hidden="false" outlineLevel="0" max="11264" min="11026" style="70" width="7.57"/>
    <col collapsed="false" customWidth="true" hidden="false" outlineLevel="0" max="11268" min="11265" style="70" width="1.42"/>
    <col collapsed="false" customWidth="true" hidden="false" outlineLevel="0" max="11269" min="11269" style="70" width="35.85"/>
    <col collapsed="false" customWidth="true" hidden="false" outlineLevel="0" max="11270" min="11270" style="70" width="7.29"/>
    <col collapsed="false" customWidth="true" hidden="false" outlineLevel="0" max="11271" min="11271" style="70" width="1.14"/>
    <col collapsed="false" customWidth="true" hidden="false" outlineLevel="0" max="11272" min="11272" style="70" width="0.71"/>
    <col collapsed="false" customWidth="true" hidden="false" outlineLevel="0" max="11273" min="11273" style="70" width="13.86"/>
    <col collapsed="false" customWidth="true" hidden="false" outlineLevel="0" max="11274" min="11274" style="70" width="0.71"/>
    <col collapsed="false" customWidth="true" hidden="false" outlineLevel="0" max="11275" min="11275" style="70" width="13.86"/>
    <col collapsed="false" customWidth="true" hidden="false" outlineLevel="0" max="11276" min="11276" style="70" width="12.29"/>
    <col collapsed="false" customWidth="true" hidden="false" outlineLevel="0" max="11277" min="11277" style="70" width="8.86"/>
    <col collapsed="false" customWidth="true" hidden="false" outlineLevel="0" max="11279" min="11278" style="70" width="12.42"/>
    <col collapsed="false" customWidth="true" hidden="false" outlineLevel="0" max="11280" min="11280" style="70" width="1.57"/>
    <col collapsed="false" customWidth="true" hidden="false" outlineLevel="0" max="11281" min="11281" style="70" width="1.71"/>
    <col collapsed="false" customWidth="false" hidden="false" outlineLevel="0" max="11520" min="11282" style="70" width="7.57"/>
    <col collapsed="false" customWidth="true" hidden="false" outlineLevel="0" max="11524" min="11521" style="70" width="1.42"/>
    <col collapsed="false" customWidth="true" hidden="false" outlineLevel="0" max="11525" min="11525" style="70" width="35.85"/>
    <col collapsed="false" customWidth="true" hidden="false" outlineLevel="0" max="11526" min="11526" style="70" width="7.29"/>
    <col collapsed="false" customWidth="true" hidden="false" outlineLevel="0" max="11527" min="11527" style="70" width="1.14"/>
    <col collapsed="false" customWidth="true" hidden="false" outlineLevel="0" max="11528" min="11528" style="70" width="0.71"/>
    <col collapsed="false" customWidth="true" hidden="false" outlineLevel="0" max="11529" min="11529" style="70" width="13.86"/>
    <col collapsed="false" customWidth="true" hidden="false" outlineLevel="0" max="11530" min="11530" style="70" width="0.71"/>
    <col collapsed="false" customWidth="true" hidden="false" outlineLevel="0" max="11531" min="11531" style="70" width="13.86"/>
    <col collapsed="false" customWidth="true" hidden="false" outlineLevel="0" max="11532" min="11532" style="70" width="12.29"/>
    <col collapsed="false" customWidth="true" hidden="false" outlineLevel="0" max="11533" min="11533" style="70" width="8.86"/>
    <col collapsed="false" customWidth="true" hidden="false" outlineLevel="0" max="11535" min="11534" style="70" width="12.42"/>
    <col collapsed="false" customWidth="true" hidden="false" outlineLevel="0" max="11536" min="11536" style="70" width="1.57"/>
    <col collapsed="false" customWidth="true" hidden="false" outlineLevel="0" max="11537" min="11537" style="70" width="1.71"/>
    <col collapsed="false" customWidth="false" hidden="false" outlineLevel="0" max="11776" min="11538" style="70" width="7.57"/>
    <col collapsed="false" customWidth="true" hidden="false" outlineLevel="0" max="11780" min="11777" style="70" width="1.42"/>
    <col collapsed="false" customWidth="true" hidden="false" outlineLevel="0" max="11781" min="11781" style="70" width="35.85"/>
    <col collapsed="false" customWidth="true" hidden="false" outlineLevel="0" max="11782" min="11782" style="70" width="7.29"/>
    <col collapsed="false" customWidth="true" hidden="false" outlineLevel="0" max="11783" min="11783" style="70" width="1.14"/>
    <col collapsed="false" customWidth="true" hidden="false" outlineLevel="0" max="11784" min="11784" style="70" width="0.71"/>
    <col collapsed="false" customWidth="true" hidden="false" outlineLevel="0" max="11785" min="11785" style="70" width="13.86"/>
    <col collapsed="false" customWidth="true" hidden="false" outlineLevel="0" max="11786" min="11786" style="70" width="0.71"/>
    <col collapsed="false" customWidth="true" hidden="false" outlineLevel="0" max="11787" min="11787" style="70" width="13.86"/>
    <col collapsed="false" customWidth="true" hidden="false" outlineLevel="0" max="11788" min="11788" style="70" width="12.29"/>
    <col collapsed="false" customWidth="true" hidden="false" outlineLevel="0" max="11789" min="11789" style="70" width="8.86"/>
    <col collapsed="false" customWidth="true" hidden="false" outlineLevel="0" max="11791" min="11790" style="70" width="12.42"/>
    <col collapsed="false" customWidth="true" hidden="false" outlineLevel="0" max="11792" min="11792" style="70" width="1.57"/>
    <col collapsed="false" customWidth="true" hidden="false" outlineLevel="0" max="11793" min="11793" style="70" width="1.71"/>
    <col collapsed="false" customWidth="false" hidden="false" outlineLevel="0" max="12032" min="11794" style="70" width="7.57"/>
    <col collapsed="false" customWidth="true" hidden="false" outlineLevel="0" max="12036" min="12033" style="70" width="1.42"/>
    <col collapsed="false" customWidth="true" hidden="false" outlineLevel="0" max="12037" min="12037" style="70" width="35.85"/>
    <col collapsed="false" customWidth="true" hidden="false" outlineLevel="0" max="12038" min="12038" style="70" width="7.29"/>
    <col collapsed="false" customWidth="true" hidden="false" outlineLevel="0" max="12039" min="12039" style="70" width="1.14"/>
    <col collapsed="false" customWidth="true" hidden="false" outlineLevel="0" max="12040" min="12040" style="70" width="0.71"/>
    <col collapsed="false" customWidth="true" hidden="false" outlineLevel="0" max="12041" min="12041" style="70" width="13.86"/>
    <col collapsed="false" customWidth="true" hidden="false" outlineLevel="0" max="12042" min="12042" style="70" width="0.71"/>
    <col collapsed="false" customWidth="true" hidden="false" outlineLevel="0" max="12043" min="12043" style="70" width="13.86"/>
    <col collapsed="false" customWidth="true" hidden="false" outlineLevel="0" max="12044" min="12044" style="70" width="12.29"/>
    <col collapsed="false" customWidth="true" hidden="false" outlineLevel="0" max="12045" min="12045" style="70" width="8.86"/>
    <col collapsed="false" customWidth="true" hidden="false" outlineLevel="0" max="12047" min="12046" style="70" width="12.42"/>
    <col collapsed="false" customWidth="true" hidden="false" outlineLevel="0" max="12048" min="12048" style="70" width="1.57"/>
    <col collapsed="false" customWidth="true" hidden="false" outlineLevel="0" max="12049" min="12049" style="70" width="1.71"/>
    <col collapsed="false" customWidth="false" hidden="false" outlineLevel="0" max="12288" min="12050" style="70" width="7.57"/>
    <col collapsed="false" customWidth="true" hidden="false" outlineLevel="0" max="12292" min="12289" style="70" width="1.42"/>
    <col collapsed="false" customWidth="true" hidden="false" outlineLevel="0" max="12293" min="12293" style="70" width="35.85"/>
    <col collapsed="false" customWidth="true" hidden="false" outlineLevel="0" max="12294" min="12294" style="70" width="7.29"/>
    <col collapsed="false" customWidth="true" hidden="false" outlineLevel="0" max="12295" min="12295" style="70" width="1.14"/>
    <col collapsed="false" customWidth="true" hidden="false" outlineLevel="0" max="12296" min="12296" style="70" width="0.71"/>
    <col collapsed="false" customWidth="true" hidden="false" outlineLevel="0" max="12297" min="12297" style="70" width="13.86"/>
    <col collapsed="false" customWidth="true" hidden="false" outlineLevel="0" max="12298" min="12298" style="70" width="0.71"/>
    <col collapsed="false" customWidth="true" hidden="false" outlineLevel="0" max="12299" min="12299" style="70" width="13.86"/>
    <col collapsed="false" customWidth="true" hidden="false" outlineLevel="0" max="12300" min="12300" style="70" width="12.29"/>
    <col collapsed="false" customWidth="true" hidden="false" outlineLevel="0" max="12301" min="12301" style="70" width="8.86"/>
    <col collapsed="false" customWidth="true" hidden="false" outlineLevel="0" max="12303" min="12302" style="70" width="12.42"/>
    <col collapsed="false" customWidth="true" hidden="false" outlineLevel="0" max="12304" min="12304" style="70" width="1.57"/>
    <col collapsed="false" customWidth="true" hidden="false" outlineLevel="0" max="12305" min="12305" style="70" width="1.71"/>
    <col collapsed="false" customWidth="false" hidden="false" outlineLevel="0" max="12544" min="12306" style="70" width="7.57"/>
    <col collapsed="false" customWidth="true" hidden="false" outlineLevel="0" max="12548" min="12545" style="70" width="1.42"/>
    <col collapsed="false" customWidth="true" hidden="false" outlineLevel="0" max="12549" min="12549" style="70" width="35.85"/>
    <col collapsed="false" customWidth="true" hidden="false" outlineLevel="0" max="12550" min="12550" style="70" width="7.29"/>
    <col collapsed="false" customWidth="true" hidden="false" outlineLevel="0" max="12551" min="12551" style="70" width="1.14"/>
    <col collapsed="false" customWidth="true" hidden="false" outlineLevel="0" max="12552" min="12552" style="70" width="0.71"/>
    <col collapsed="false" customWidth="true" hidden="false" outlineLevel="0" max="12553" min="12553" style="70" width="13.86"/>
    <col collapsed="false" customWidth="true" hidden="false" outlineLevel="0" max="12554" min="12554" style="70" width="0.71"/>
    <col collapsed="false" customWidth="true" hidden="false" outlineLevel="0" max="12555" min="12555" style="70" width="13.86"/>
    <col collapsed="false" customWidth="true" hidden="false" outlineLevel="0" max="12556" min="12556" style="70" width="12.29"/>
    <col collapsed="false" customWidth="true" hidden="false" outlineLevel="0" max="12557" min="12557" style="70" width="8.86"/>
    <col collapsed="false" customWidth="true" hidden="false" outlineLevel="0" max="12559" min="12558" style="70" width="12.42"/>
    <col collapsed="false" customWidth="true" hidden="false" outlineLevel="0" max="12560" min="12560" style="70" width="1.57"/>
    <col collapsed="false" customWidth="true" hidden="false" outlineLevel="0" max="12561" min="12561" style="70" width="1.71"/>
    <col collapsed="false" customWidth="false" hidden="false" outlineLevel="0" max="12800" min="12562" style="70" width="7.57"/>
    <col collapsed="false" customWidth="true" hidden="false" outlineLevel="0" max="12804" min="12801" style="70" width="1.42"/>
    <col collapsed="false" customWidth="true" hidden="false" outlineLevel="0" max="12805" min="12805" style="70" width="35.85"/>
    <col collapsed="false" customWidth="true" hidden="false" outlineLevel="0" max="12806" min="12806" style="70" width="7.29"/>
    <col collapsed="false" customWidth="true" hidden="false" outlineLevel="0" max="12807" min="12807" style="70" width="1.14"/>
    <col collapsed="false" customWidth="true" hidden="false" outlineLevel="0" max="12808" min="12808" style="70" width="0.71"/>
    <col collapsed="false" customWidth="true" hidden="false" outlineLevel="0" max="12809" min="12809" style="70" width="13.86"/>
    <col collapsed="false" customWidth="true" hidden="false" outlineLevel="0" max="12810" min="12810" style="70" width="0.71"/>
    <col collapsed="false" customWidth="true" hidden="false" outlineLevel="0" max="12811" min="12811" style="70" width="13.86"/>
    <col collapsed="false" customWidth="true" hidden="false" outlineLevel="0" max="12812" min="12812" style="70" width="12.29"/>
    <col collapsed="false" customWidth="true" hidden="false" outlineLevel="0" max="12813" min="12813" style="70" width="8.86"/>
    <col collapsed="false" customWidth="true" hidden="false" outlineLevel="0" max="12815" min="12814" style="70" width="12.42"/>
    <col collapsed="false" customWidth="true" hidden="false" outlineLevel="0" max="12816" min="12816" style="70" width="1.57"/>
    <col collapsed="false" customWidth="true" hidden="false" outlineLevel="0" max="12817" min="12817" style="70" width="1.71"/>
    <col collapsed="false" customWidth="false" hidden="false" outlineLevel="0" max="13056" min="12818" style="70" width="7.57"/>
    <col collapsed="false" customWidth="true" hidden="false" outlineLevel="0" max="13060" min="13057" style="70" width="1.42"/>
    <col collapsed="false" customWidth="true" hidden="false" outlineLevel="0" max="13061" min="13061" style="70" width="35.85"/>
    <col collapsed="false" customWidth="true" hidden="false" outlineLevel="0" max="13062" min="13062" style="70" width="7.29"/>
    <col collapsed="false" customWidth="true" hidden="false" outlineLevel="0" max="13063" min="13063" style="70" width="1.14"/>
    <col collapsed="false" customWidth="true" hidden="false" outlineLevel="0" max="13064" min="13064" style="70" width="0.71"/>
    <col collapsed="false" customWidth="true" hidden="false" outlineLevel="0" max="13065" min="13065" style="70" width="13.86"/>
    <col collapsed="false" customWidth="true" hidden="false" outlineLevel="0" max="13066" min="13066" style="70" width="0.71"/>
    <col collapsed="false" customWidth="true" hidden="false" outlineLevel="0" max="13067" min="13067" style="70" width="13.86"/>
    <col collapsed="false" customWidth="true" hidden="false" outlineLevel="0" max="13068" min="13068" style="70" width="12.29"/>
    <col collapsed="false" customWidth="true" hidden="false" outlineLevel="0" max="13069" min="13069" style="70" width="8.86"/>
    <col collapsed="false" customWidth="true" hidden="false" outlineLevel="0" max="13071" min="13070" style="70" width="12.42"/>
    <col collapsed="false" customWidth="true" hidden="false" outlineLevel="0" max="13072" min="13072" style="70" width="1.57"/>
    <col collapsed="false" customWidth="true" hidden="false" outlineLevel="0" max="13073" min="13073" style="70" width="1.71"/>
    <col collapsed="false" customWidth="false" hidden="false" outlineLevel="0" max="13312" min="13074" style="70" width="7.57"/>
    <col collapsed="false" customWidth="true" hidden="false" outlineLevel="0" max="13316" min="13313" style="70" width="1.42"/>
    <col collapsed="false" customWidth="true" hidden="false" outlineLevel="0" max="13317" min="13317" style="70" width="35.85"/>
    <col collapsed="false" customWidth="true" hidden="false" outlineLevel="0" max="13318" min="13318" style="70" width="7.29"/>
    <col collapsed="false" customWidth="true" hidden="false" outlineLevel="0" max="13319" min="13319" style="70" width="1.14"/>
    <col collapsed="false" customWidth="true" hidden="false" outlineLevel="0" max="13320" min="13320" style="70" width="0.71"/>
    <col collapsed="false" customWidth="true" hidden="false" outlineLevel="0" max="13321" min="13321" style="70" width="13.86"/>
    <col collapsed="false" customWidth="true" hidden="false" outlineLevel="0" max="13322" min="13322" style="70" width="0.71"/>
    <col collapsed="false" customWidth="true" hidden="false" outlineLevel="0" max="13323" min="13323" style="70" width="13.86"/>
    <col collapsed="false" customWidth="true" hidden="false" outlineLevel="0" max="13324" min="13324" style="70" width="12.29"/>
    <col collapsed="false" customWidth="true" hidden="false" outlineLevel="0" max="13325" min="13325" style="70" width="8.86"/>
    <col collapsed="false" customWidth="true" hidden="false" outlineLevel="0" max="13327" min="13326" style="70" width="12.42"/>
    <col collapsed="false" customWidth="true" hidden="false" outlineLevel="0" max="13328" min="13328" style="70" width="1.57"/>
    <col collapsed="false" customWidth="true" hidden="false" outlineLevel="0" max="13329" min="13329" style="70" width="1.71"/>
    <col collapsed="false" customWidth="false" hidden="false" outlineLevel="0" max="13568" min="13330" style="70" width="7.57"/>
    <col collapsed="false" customWidth="true" hidden="false" outlineLevel="0" max="13572" min="13569" style="70" width="1.42"/>
    <col collapsed="false" customWidth="true" hidden="false" outlineLevel="0" max="13573" min="13573" style="70" width="35.85"/>
    <col collapsed="false" customWidth="true" hidden="false" outlineLevel="0" max="13574" min="13574" style="70" width="7.29"/>
    <col collapsed="false" customWidth="true" hidden="false" outlineLevel="0" max="13575" min="13575" style="70" width="1.14"/>
    <col collapsed="false" customWidth="true" hidden="false" outlineLevel="0" max="13576" min="13576" style="70" width="0.71"/>
    <col collapsed="false" customWidth="true" hidden="false" outlineLevel="0" max="13577" min="13577" style="70" width="13.86"/>
    <col collapsed="false" customWidth="true" hidden="false" outlineLevel="0" max="13578" min="13578" style="70" width="0.71"/>
    <col collapsed="false" customWidth="true" hidden="false" outlineLevel="0" max="13579" min="13579" style="70" width="13.86"/>
    <col collapsed="false" customWidth="true" hidden="false" outlineLevel="0" max="13580" min="13580" style="70" width="12.29"/>
    <col collapsed="false" customWidth="true" hidden="false" outlineLevel="0" max="13581" min="13581" style="70" width="8.86"/>
    <col collapsed="false" customWidth="true" hidden="false" outlineLevel="0" max="13583" min="13582" style="70" width="12.42"/>
    <col collapsed="false" customWidth="true" hidden="false" outlineLevel="0" max="13584" min="13584" style="70" width="1.57"/>
    <col collapsed="false" customWidth="true" hidden="false" outlineLevel="0" max="13585" min="13585" style="70" width="1.71"/>
    <col collapsed="false" customWidth="false" hidden="false" outlineLevel="0" max="13824" min="13586" style="70" width="7.57"/>
    <col collapsed="false" customWidth="true" hidden="false" outlineLevel="0" max="13828" min="13825" style="70" width="1.42"/>
    <col collapsed="false" customWidth="true" hidden="false" outlineLevel="0" max="13829" min="13829" style="70" width="35.85"/>
    <col collapsed="false" customWidth="true" hidden="false" outlineLevel="0" max="13830" min="13830" style="70" width="7.29"/>
    <col collapsed="false" customWidth="true" hidden="false" outlineLevel="0" max="13831" min="13831" style="70" width="1.14"/>
    <col collapsed="false" customWidth="true" hidden="false" outlineLevel="0" max="13832" min="13832" style="70" width="0.71"/>
    <col collapsed="false" customWidth="true" hidden="false" outlineLevel="0" max="13833" min="13833" style="70" width="13.86"/>
    <col collapsed="false" customWidth="true" hidden="false" outlineLevel="0" max="13834" min="13834" style="70" width="0.71"/>
    <col collapsed="false" customWidth="true" hidden="false" outlineLevel="0" max="13835" min="13835" style="70" width="13.86"/>
    <col collapsed="false" customWidth="true" hidden="false" outlineLevel="0" max="13836" min="13836" style="70" width="12.29"/>
    <col collapsed="false" customWidth="true" hidden="false" outlineLevel="0" max="13837" min="13837" style="70" width="8.86"/>
    <col collapsed="false" customWidth="true" hidden="false" outlineLevel="0" max="13839" min="13838" style="70" width="12.42"/>
    <col collapsed="false" customWidth="true" hidden="false" outlineLevel="0" max="13840" min="13840" style="70" width="1.57"/>
    <col collapsed="false" customWidth="true" hidden="false" outlineLevel="0" max="13841" min="13841" style="70" width="1.71"/>
    <col collapsed="false" customWidth="false" hidden="false" outlineLevel="0" max="14080" min="13842" style="70" width="7.57"/>
    <col collapsed="false" customWidth="true" hidden="false" outlineLevel="0" max="14084" min="14081" style="70" width="1.42"/>
    <col collapsed="false" customWidth="true" hidden="false" outlineLevel="0" max="14085" min="14085" style="70" width="35.85"/>
    <col collapsed="false" customWidth="true" hidden="false" outlineLevel="0" max="14086" min="14086" style="70" width="7.29"/>
    <col collapsed="false" customWidth="true" hidden="false" outlineLevel="0" max="14087" min="14087" style="70" width="1.14"/>
    <col collapsed="false" customWidth="true" hidden="false" outlineLevel="0" max="14088" min="14088" style="70" width="0.71"/>
    <col collapsed="false" customWidth="true" hidden="false" outlineLevel="0" max="14089" min="14089" style="70" width="13.86"/>
    <col collapsed="false" customWidth="true" hidden="false" outlineLevel="0" max="14090" min="14090" style="70" width="0.71"/>
    <col collapsed="false" customWidth="true" hidden="false" outlineLevel="0" max="14091" min="14091" style="70" width="13.86"/>
    <col collapsed="false" customWidth="true" hidden="false" outlineLevel="0" max="14092" min="14092" style="70" width="12.29"/>
    <col collapsed="false" customWidth="true" hidden="false" outlineLevel="0" max="14093" min="14093" style="70" width="8.86"/>
    <col collapsed="false" customWidth="true" hidden="false" outlineLevel="0" max="14095" min="14094" style="70" width="12.42"/>
    <col collapsed="false" customWidth="true" hidden="false" outlineLevel="0" max="14096" min="14096" style="70" width="1.57"/>
    <col collapsed="false" customWidth="true" hidden="false" outlineLevel="0" max="14097" min="14097" style="70" width="1.71"/>
    <col collapsed="false" customWidth="false" hidden="false" outlineLevel="0" max="14336" min="14098" style="70" width="7.57"/>
    <col collapsed="false" customWidth="true" hidden="false" outlineLevel="0" max="14340" min="14337" style="70" width="1.42"/>
    <col collapsed="false" customWidth="true" hidden="false" outlineLevel="0" max="14341" min="14341" style="70" width="35.85"/>
    <col collapsed="false" customWidth="true" hidden="false" outlineLevel="0" max="14342" min="14342" style="70" width="7.29"/>
    <col collapsed="false" customWidth="true" hidden="false" outlineLevel="0" max="14343" min="14343" style="70" width="1.14"/>
    <col collapsed="false" customWidth="true" hidden="false" outlineLevel="0" max="14344" min="14344" style="70" width="0.71"/>
    <col collapsed="false" customWidth="true" hidden="false" outlineLevel="0" max="14345" min="14345" style="70" width="13.86"/>
    <col collapsed="false" customWidth="true" hidden="false" outlineLevel="0" max="14346" min="14346" style="70" width="0.71"/>
    <col collapsed="false" customWidth="true" hidden="false" outlineLevel="0" max="14347" min="14347" style="70" width="13.86"/>
    <col collapsed="false" customWidth="true" hidden="false" outlineLevel="0" max="14348" min="14348" style="70" width="12.29"/>
    <col collapsed="false" customWidth="true" hidden="false" outlineLevel="0" max="14349" min="14349" style="70" width="8.86"/>
    <col collapsed="false" customWidth="true" hidden="false" outlineLevel="0" max="14351" min="14350" style="70" width="12.42"/>
    <col collapsed="false" customWidth="true" hidden="false" outlineLevel="0" max="14352" min="14352" style="70" width="1.57"/>
    <col collapsed="false" customWidth="true" hidden="false" outlineLevel="0" max="14353" min="14353" style="70" width="1.71"/>
    <col collapsed="false" customWidth="false" hidden="false" outlineLevel="0" max="14592" min="14354" style="70" width="7.57"/>
    <col collapsed="false" customWidth="true" hidden="false" outlineLevel="0" max="14596" min="14593" style="70" width="1.42"/>
    <col collapsed="false" customWidth="true" hidden="false" outlineLevel="0" max="14597" min="14597" style="70" width="35.85"/>
    <col collapsed="false" customWidth="true" hidden="false" outlineLevel="0" max="14598" min="14598" style="70" width="7.29"/>
    <col collapsed="false" customWidth="true" hidden="false" outlineLevel="0" max="14599" min="14599" style="70" width="1.14"/>
    <col collapsed="false" customWidth="true" hidden="false" outlineLevel="0" max="14600" min="14600" style="70" width="0.71"/>
    <col collapsed="false" customWidth="true" hidden="false" outlineLevel="0" max="14601" min="14601" style="70" width="13.86"/>
    <col collapsed="false" customWidth="true" hidden="false" outlineLevel="0" max="14602" min="14602" style="70" width="0.71"/>
    <col collapsed="false" customWidth="true" hidden="false" outlineLevel="0" max="14603" min="14603" style="70" width="13.86"/>
    <col collapsed="false" customWidth="true" hidden="false" outlineLevel="0" max="14604" min="14604" style="70" width="12.29"/>
    <col collapsed="false" customWidth="true" hidden="false" outlineLevel="0" max="14605" min="14605" style="70" width="8.86"/>
    <col collapsed="false" customWidth="true" hidden="false" outlineLevel="0" max="14607" min="14606" style="70" width="12.42"/>
    <col collapsed="false" customWidth="true" hidden="false" outlineLevel="0" max="14608" min="14608" style="70" width="1.57"/>
    <col collapsed="false" customWidth="true" hidden="false" outlineLevel="0" max="14609" min="14609" style="70" width="1.71"/>
    <col collapsed="false" customWidth="false" hidden="false" outlineLevel="0" max="14848" min="14610" style="70" width="7.57"/>
    <col collapsed="false" customWidth="true" hidden="false" outlineLevel="0" max="14852" min="14849" style="70" width="1.42"/>
    <col collapsed="false" customWidth="true" hidden="false" outlineLevel="0" max="14853" min="14853" style="70" width="35.85"/>
    <col collapsed="false" customWidth="true" hidden="false" outlineLevel="0" max="14854" min="14854" style="70" width="7.29"/>
    <col collapsed="false" customWidth="true" hidden="false" outlineLevel="0" max="14855" min="14855" style="70" width="1.14"/>
    <col collapsed="false" customWidth="true" hidden="false" outlineLevel="0" max="14856" min="14856" style="70" width="0.71"/>
    <col collapsed="false" customWidth="true" hidden="false" outlineLevel="0" max="14857" min="14857" style="70" width="13.86"/>
    <col collapsed="false" customWidth="true" hidden="false" outlineLevel="0" max="14858" min="14858" style="70" width="0.71"/>
    <col collapsed="false" customWidth="true" hidden="false" outlineLevel="0" max="14859" min="14859" style="70" width="13.86"/>
    <col collapsed="false" customWidth="true" hidden="false" outlineLevel="0" max="14860" min="14860" style="70" width="12.29"/>
    <col collapsed="false" customWidth="true" hidden="false" outlineLevel="0" max="14861" min="14861" style="70" width="8.86"/>
    <col collapsed="false" customWidth="true" hidden="false" outlineLevel="0" max="14863" min="14862" style="70" width="12.42"/>
    <col collapsed="false" customWidth="true" hidden="false" outlineLevel="0" max="14864" min="14864" style="70" width="1.57"/>
    <col collapsed="false" customWidth="true" hidden="false" outlineLevel="0" max="14865" min="14865" style="70" width="1.71"/>
    <col collapsed="false" customWidth="false" hidden="false" outlineLevel="0" max="15104" min="14866" style="70" width="7.57"/>
    <col collapsed="false" customWidth="true" hidden="false" outlineLevel="0" max="15108" min="15105" style="70" width="1.42"/>
    <col collapsed="false" customWidth="true" hidden="false" outlineLevel="0" max="15109" min="15109" style="70" width="35.85"/>
    <col collapsed="false" customWidth="true" hidden="false" outlineLevel="0" max="15110" min="15110" style="70" width="7.29"/>
    <col collapsed="false" customWidth="true" hidden="false" outlineLevel="0" max="15111" min="15111" style="70" width="1.14"/>
    <col collapsed="false" customWidth="true" hidden="false" outlineLevel="0" max="15112" min="15112" style="70" width="0.71"/>
    <col collapsed="false" customWidth="true" hidden="false" outlineLevel="0" max="15113" min="15113" style="70" width="13.86"/>
    <col collapsed="false" customWidth="true" hidden="false" outlineLevel="0" max="15114" min="15114" style="70" width="0.71"/>
    <col collapsed="false" customWidth="true" hidden="false" outlineLevel="0" max="15115" min="15115" style="70" width="13.86"/>
    <col collapsed="false" customWidth="true" hidden="false" outlineLevel="0" max="15116" min="15116" style="70" width="12.29"/>
    <col collapsed="false" customWidth="true" hidden="false" outlineLevel="0" max="15117" min="15117" style="70" width="8.86"/>
    <col collapsed="false" customWidth="true" hidden="false" outlineLevel="0" max="15119" min="15118" style="70" width="12.42"/>
    <col collapsed="false" customWidth="true" hidden="false" outlineLevel="0" max="15120" min="15120" style="70" width="1.57"/>
    <col collapsed="false" customWidth="true" hidden="false" outlineLevel="0" max="15121" min="15121" style="70" width="1.71"/>
    <col collapsed="false" customWidth="false" hidden="false" outlineLevel="0" max="15360" min="15122" style="70" width="7.57"/>
    <col collapsed="false" customWidth="true" hidden="false" outlineLevel="0" max="15364" min="15361" style="70" width="1.42"/>
    <col collapsed="false" customWidth="true" hidden="false" outlineLevel="0" max="15365" min="15365" style="70" width="35.85"/>
    <col collapsed="false" customWidth="true" hidden="false" outlineLevel="0" max="15366" min="15366" style="70" width="7.29"/>
    <col collapsed="false" customWidth="true" hidden="false" outlineLevel="0" max="15367" min="15367" style="70" width="1.14"/>
    <col collapsed="false" customWidth="true" hidden="false" outlineLevel="0" max="15368" min="15368" style="70" width="0.71"/>
    <col collapsed="false" customWidth="true" hidden="false" outlineLevel="0" max="15369" min="15369" style="70" width="13.86"/>
    <col collapsed="false" customWidth="true" hidden="false" outlineLevel="0" max="15370" min="15370" style="70" width="0.71"/>
    <col collapsed="false" customWidth="true" hidden="false" outlineLevel="0" max="15371" min="15371" style="70" width="13.86"/>
    <col collapsed="false" customWidth="true" hidden="false" outlineLevel="0" max="15372" min="15372" style="70" width="12.29"/>
    <col collapsed="false" customWidth="true" hidden="false" outlineLevel="0" max="15373" min="15373" style="70" width="8.86"/>
    <col collapsed="false" customWidth="true" hidden="false" outlineLevel="0" max="15375" min="15374" style="70" width="12.42"/>
    <col collapsed="false" customWidth="true" hidden="false" outlineLevel="0" max="15376" min="15376" style="70" width="1.57"/>
    <col collapsed="false" customWidth="true" hidden="false" outlineLevel="0" max="15377" min="15377" style="70" width="1.71"/>
    <col collapsed="false" customWidth="false" hidden="false" outlineLevel="0" max="15616" min="15378" style="70" width="7.57"/>
    <col collapsed="false" customWidth="true" hidden="false" outlineLevel="0" max="15620" min="15617" style="70" width="1.42"/>
    <col collapsed="false" customWidth="true" hidden="false" outlineLevel="0" max="15621" min="15621" style="70" width="35.85"/>
    <col collapsed="false" customWidth="true" hidden="false" outlineLevel="0" max="15622" min="15622" style="70" width="7.29"/>
    <col collapsed="false" customWidth="true" hidden="false" outlineLevel="0" max="15623" min="15623" style="70" width="1.14"/>
    <col collapsed="false" customWidth="true" hidden="false" outlineLevel="0" max="15624" min="15624" style="70" width="0.71"/>
    <col collapsed="false" customWidth="true" hidden="false" outlineLevel="0" max="15625" min="15625" style="70" width="13.86"/>
    <col collapsed="false" customWidth="true" hidden="false" outlineLevel="0" max="15626" min="15626" style="70" width="0.71"/>
    <col collapsed="false" customWidth="true" hidden="false" outlineLevel="0" max="15627" min="15627" style="70" width="13.86"/>
    <col collapsed="false" customWidth="true" hidden="false" outlineLevel="0" max="15628" min="15628" style="70" width="12.29"/>
    <col collapsed="false" customWidth="true" hidden="false" outlineLevel="0" max="15629" min="15629" style="70" width="8.86"/>
    <col collapsed="false" customWidth="true" hidden="false" outlineLevel="0" max="15631" min="15630" style="70" width="12.42"/>
    <col collapsed="false" customWidth="true" hidden="false" outlineLevel="0" max="15632" min="15632" style="70" width="1.57"/>
    <col collapsed="false" customWidth="true" hidden="false" outlineLevel="0" max="15633" min="15633" style="70" width="1.71"/>
    <col collapsed="false" customWidth="false" hidden="false" outlineLevel="0" max="15872" min="15634" style="70" width="7.57"/>
    <col collapsed="false" customWidth="true" hidden="false" outlineLevel="0" max="15876" min="15873" style="70" width="1.42"/>
    <col collapsed="false" customWidth="true" hidden="false" outlineLevel="0" max="15877" min="15877" style="70" width="35.85"/>
    <col collapsed="false" customWidth="true" hidden="false" outlineLevel="0" max="15878" min="15878" style="70" width="7.29"/>
    <col collapsed="false" customWidth="true" hidden="false" outlineLevel="0" max="15879" min="15879" style="70" width="1.14"/>
    <col collapsed="false" customWidth="true" hidden="false" outlineLevel="0" max="15880" min="15880" style="70" width="0.71"/>
    <col collapsed="false" customWidth="true" hidden="false" outlineLevel="0" max="15881" min="15881" style="70" width="13.86"/>
    <col collapsed="false" customWidth="true" hidden="false" outlineLevel="0" max="15882" min="15882" style="70" width="0.71"/>
    <col collapsed="false" customWidth="true" hidden="false" outlineLevel="0" max="15883" min="15883" style="70" width="13.86"/>
    <col collapsed="false" customWidth="true" hidden="false" outlineLevel="0" max="15884" min="15884" style="70" width="12.29"/>
    <col collapsed="false" customWidth="true" hidden="false" outlineLevel="0" max="15885" min="15885" style="70" width="8.86"/>
    <col collapsed="false" customWidth="true" hidden="false" outlineLevel="0" max="15887" min="15886" style="70" width="12.42"/>
    <col collapsed="false" customWidth="true" hidden="false" outlineLevel="0" max="15888" min="15888" style="70" width="1.57"/>
    <col collapsed="false" customWidth="true" hidden="false" outlineLevel="0" max="15889" min="15889" style="70" width="1.71"/>
    <col collapsed="false" customWidth="false" hidden="false" outlineLevel="0" max="16128" min="15890" style="70" width="7.57"/>
    <col collapsed="false" customWidth="true" hidden="false" outlineLevel="0" max="16132" min="16129" style="70" width="1.42"/>
    <col collapsed="false" customWidth="true" hidden="false" outlineLevel="0" max="16133" min="16133" style="70" width="35.85"/>
    <col collapsed="false" customWidth="true" hidden="false" outlineLevel="0" max="16134" min="16134" style="70" width="7.29"/>
    <col collapsed="false" customWidth="true" hidden="false" outlineLevel="0" max="16135" min="16135" style="70" width="1.14"/>
    <col collapsed="false" customWidth="true" hidden="false" outlineLevel="0" max="16136" min="16136" style="70" width="0.71"/>
    <col collapsed="false" customWidth="true" hidden="false" outlineLevel="0" max="16137" min="16137" style="70" width="13.86"/>
    <col collapsed="false" customWidth="true" hidden="false" outlineLevel="0" max="16138" min="16138" style="70" width="0.71"/>
    <col collapsed="false" customWidth="true" hidden="false" outlineLevel="0" max="16139" min="16139" style="70" width="13.86"/>
    <col collapsed="false" customWidth="true" hidden="false" outlineLevel="0" max="16140" min="16140" style="70" width="12.29"/>
    <col collapsed="false" customWidth="true" hidden="false" outlineLevel="0" max="16141" min="16141" style="70" width="8.86"/>
    <col collapsed="false" customWidth="true" hidden="false" outlineLevel="0" max="16143" min="16142" style="70" width="12.42"/>
    <col collapsed="false" customWidth="true" hidden="false" outlineLevel="0" max="16144" min="16144" style="70" width="1.57"/>
    <col collapsed="false" customWidth="true" hidden="false" outlineLevel="0" max="16145" min="16145" style="70" width="1.71"/>
    <col collapsed="false" customWidth="false" hidden="false" outlineLevel="0" max="16384" min="16146" style="70" width="7.57"/>
  </cols>
  <sheetData>
    <row r="1" customFormat="false" ht="22.5" hidden="false" customHeight="true" outlineLevel="0" collapsed="false">
      <c r="K1" s="72" t="s">
        <v>0</v>
      </c>
    </row>
    <row r="2" customFormat="false" ht="22.5" hidden="false" customHeight="true" outlineLevel="0" collapsed="false">
      <c r="K2" s="72" t="s">
        <v>1</v>
      </c>
    </row>
    <row r="3" customFormat="false" ht="22.5" hidden="false" customHeight="true" outlineLevel="0" collapsed="false">
      <c r="A3" s="73" t="s">
        <v>91</v>
      </c>
      <c r="B3" s="73"/>
      <c r="C3" s="73"/>
      <c r="D3" s="73"/>
      <c r="E3" s="73"/>
      <c r="F3" s="73"/>
      <c r="G3" s="73"/>
      <c r="H3" s="73"/>
      <c r="I3" s="73"/>
      <c r="J3" s="73"/>
      <c r="K3" s="73"/>
    </row>
    <row r="4" customFormat="false" ht="22.5" hidden="false" customHeight="true" outlineLevel="0" collapsed="false">
      <c r="A4" s="74" t="s">
        <v>70</v>
      </c>
      <c r="B4" s="74"/>
      <c r="C4" s="74"/>
      <c r="D4" s="74"/>
      <c r="E4" s="74"/>
      <c r="F4" s="74"/>
      <c r="G4" s="74"/>
      <c r="H4" s="74"/>
      <c r="I4" s="74"/>
      <c r="J4" s="74"/>
      <c r="K4" s="74"/>
    </row>
    <row r="5" customFormat="false" ht="22.5" hidden="false" customHeight="true" outlineLevel="0" collapsed="false">
      <c r="A5" s="74" t="s">
        <v>71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  <c r="M5" s="75"/>
      <c r="N5" s="75"/>
      <c r="O5" s="75"/>
    </row>
    <row r="6" customFormat="false" ht="22.5" hidden="false" customHeight="true" outlineLevel="0" collapsed="false">
      <c r="A6" s="74" t="s">
        <v>92</v>
      </c>
      <c r="B6" s="74"/>
      <c r="C6" s="74"/>
      <c r="D6" s="74"/>
      <c r="E6" s="74"/>
      <c r="F6" s="74"/>
      <c r="G6" s="74"/>
      <c r="H6" s="74"/>
      <c r="I6" s="74"/>
      <c r="J6" s="74"/>
      <c r="K6" s="74"/>
    </row>
    <row r="7" customFormat="false" ht="7.5" hidden="false" customHeight="true" outlineLevel="0" collapsed="false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</row>
    <row r="8" s="77" customFormat="true" ht="22.5" hidden="false" customHeight="true" outlineLevel="0" collapsed="false">
      <c r="E8" s="78"/>
      <c r="F8" s="78"/>
      <c r="G8" s="78"/>
      <c r="H8" s="78"/>
      <c r="I8" s="79" t="s">
        <v>7</v>
      </c>
      <c r="J8" s="79"/>
      <c r="K8" s="79"/>
    </row>
    <row r="9" s="77" customFormat="true" ht="22.5" hidden="false" customHeight="true" outlineLevel="0" collapsed="false">
      <c r="F9" s="78"/>
      <c r="G9" s="80" t="s">
        <v>10</v>
      </c>
      <c r="H9" s="78"/>
      <c r="I9" s="81"/>
      <c r="J9" s="82"/>
      <c r="K9" s="81"/>
    </row>
    <row r="10" s="77" customFormat="true" ht="22.5" hidden="false" customHeight="true" outlineLevel="0" collapsed="false">
      <c r="A10" s="77" t="s">
        <v>73</v>
      </c>
      <c r="F10" s="80"/>
      <c r="I10" s="83"/>
      <c r="K10" s="83"/>
    </row>
    <row r="11" s="77" customFormat="true" ht="22.5" hidden="false" customHeight="true" outlineLevel="0" collapsed="false">
      <c r="B11" s="77" t="s">
        <v>74</v>
      </c>
      <c r="F11" s="84"/>
      <c r="H11" s="85"/>
      <c r="I11" s="86"/>
      <c r="J11" s="87"/>
      <c r="K11" s="86"/>
      <c r="L11" s="88"/>
    </row>
    <row r="12" s="77" customFormat="true" ht="22.5" hidden="false" customHeight="true" outlineLevel="0" collapsed="false">
      <c r="B12" s="77" t="s">
        <v>75</v>
      </c>
      <c r="C12" s="89"/>
      <c r="F12" s="80"/>
      <c r="H12" s="87"/>
      <c r="I12" s="90"/>
      <c r="J12" s="87"/>
      <c r="K12" s="90"/>
      <c r="L12" s="88"/>
    </row>
    <row r="13" s="77" customFormat="true" ht="22.5" hidden="false" customHeight="true" outlineLevel="0" collapsed="false">
      <c r="E13" s="77" t="s">
        <v>76</v>
      </c>
      <c r="F13" s="91"/>
      <c r="H13" s="87"/>
      <c r="I13" s="92" t="n">
        <f aca="false">I11+I12</f>
        <v>0</v>
      </c>
      <c r="J13" s="87"/>
      <c r="K13" s="92" t="n">
        <f aca="false">SUM(K11:K12)</f>
        <v>0</v>
      </c>
      <c r="L13" s="88"/>
    </row>
    <row r="14" s="77" customFormat="true" ht="22.5" hidden="false" customHeight="true" outlineLevel="0" collapsed="false">
      <c r="A14" s="77" t="s">
        <v>77</v>
      </c>
      <c r="F14" s="93"/>
      <c r="H14" s="87"/>
      <c r="I14" s="86"/>
      <c r="J14" s="87"/>
      <c r="K14" s="86"/>
      <c r="L14" s="88"/>
    </row>
    <row r="15" s="77" customFormat="true" ht="22.5" hidden="false" customHeight="true" outlineLevel="0" collapsed="false">
      <c r="B15" s="77" t="s">
        <v>78</v>
      </c>
      <c r="F15" s="91"/>
      <c r="H15" s="87"/>
      <c r="I15" s="86"/>
      <c r="J15" s="87"/>
      <c r="K15" s="86"/>
      <c r="L15" s="88"/>
    </row>
    <row r="16" s="77" customFormat="true" ht="22.5" hidden="false" customHeight="true" outlineLevel="0" collapsed="false">
      <c r="B16" s="77" t="s">
        <v>79</v>
      </c>
      <c r="F16" s="91"/>
      <c r="H16" s="87"/>
      <c r="I16" s="86"/>
      <c r="J16" s="87"/>
      <c r="K16" s="86"/>
      <c r="L16" s="88"/>
      <c r="O16" s="88"/>
    </row>
    <row r="17" s="77" customFormat="true" ht="22.5" hidden="false" customHeight="true" outlineLevel="0" collapsed="false">
      <c r="B17" s="77" t="s">
        <v>80</v>
      </c>
      <c r="F17" s="84"/>
      <c r="H17" s="85"/>
      <c r="I17" s="86"/>
      <c r="J17" s="87"/>
      <c r="K17" s="86"/>
      <c r="L17" s="88"/>
      <c r="N17" s="88"/>
    </row>
    <row r="18" s="77" customFormat="true" ht="22.5" hidden="false" customHeight="true" outlineLevel="0" collapsed="false">
      <c r="E18" s="77" t="s">
        <v>81</v>
      </c>
      <c r="F18" s="84"/>
      <c r="H18" s="85"/>
      <c r="I18" s="92" t="n">
        <f aca="false">I15+I16+I17</f>
        <v>0</v>
      </c>
      <c r="J18" s="87"/>
      <c r="K18" s="92" t="n">
        <f aca="false">SUM(K15:K17)</f>
        <v>0</v>
      </c>
      <c r="L18" s="88"/>
      <c r="N18" s="88"/>
    </row>
    <row r="19" s="77" customFormat="true" ht="22.5" hidden="false" customHeight="true" outlineLevel="0" collapsed="false">
      <c r="A19" s="77" t="s">
        <v>82</v>
      </c>
      <c r="F19" s="84"/>
      <c r="H19" s="85"/>
      <c r="I19" s="94" t="n">
        <f aca="false">I13-I18</f>
        <v>0</v>
      </c>
      <c r="J19" s="87"/>
      <c r="K19" s="94" t="n">
        <f aca="false">K13-K18</f>
        <v>0</v>
      </c>
      <c r="L19" s="88"/>
      <c r="N19" s="88"/>
    </row>
    <row r="20" s="77" customFormat="true" ht="22.5" hidden="false" customHeight="true" outlineLevel="0" collapsed="false">
      <c r="A20" s="77" t="s">
        <v>83</v>
      </c>
      <c r="F20" s="84"/>
      <c r="H20" s="85"/>
      <c r="I20" s="95"/>
      <c r="J20" s="87"/>
      <c r="K20" s="96"/>
      <c r="L20" s="88"/>
      <c r="N20" s="88"/>
    </row>
    <row r="21" s="77" customFormat="true" ht="22.5" hidden="false" customHeight="true" outlineLevel="0" collapsed="false">
      <c r="A21" s="77" t="s">
        <v>84</v>
      </c>
      <c r="F21" s="91"/>
      <c r="H21" s="87"/>
      <c r="I21" s="94" t="n">
        <f aca="false">I19-I20</f>
        <v>0</v>
      </c>
      <c r="J21" s="94"/>
      <c r="K21" s="94" t="n">
        <f aca="false">K19-K20</f>
        <v>0</v>
      </c>
      <c r="L21" s="88"/>
      <c r="M21" s="88"/>
    </row>
    <row r="22" s="77" customFormat="true" ht="22.5" hidden="false" customHeight="true" outlineLevel="0" collapsed="false">
      <c r="A22" s="77" t="s">
        <v>85</v>
      </c>
      <c r="F22" s="93"/>
      <c r="H22" s="97"/>
      <c r="I22" s="95"/>
      <c r="J22" s="87"/>
      <c r="K22" s="95"/>
      <c r="L22" s="88"/>
      <c r="M22" s="98"/>
    </row>
    <row r="23" s="77" customFormat="true" ht="22.5" hidden="false" customHeight="true" outlineLevel="0" collapsed="false">
      <c r="A23" s="77" t="s">
        <v>86</v>
      </c>
      <c r="F23" s="91"/>
      <c r="H23" s="87"/>
      <c r="I23" s="99" t="n">
        <f aca="false">I21-I22</f>
        <v>0</v>
      </c>
      <c r="J23" s="100"/>
      <c r="K23" s="99" t="n">
        <f aca="false">K21-K22</f>
        <v>0</v>
      </c>
      <c r="L23" s="88"/>
      <c r="N23" s="88"/>
    </row>
    <row r="24" s="77" customFormat="true" ht="22.5" hidden="false" customHeight="true" outlineLevel="0" collapsed="false">
      <c r="A24" s="77" t="s">
        <v>87</v>
      </c>
      <c r="F24" s="91"/>
      <c r="H24" s="87"/>
      <c r="I24" s="101"/>
      <c r="J24" s="102"/>
      <c r="K24" s="101"/>
      <c r="L24" s="88"/>
    </row>
    <row r="25" s="77" customFormat="true" ht="22.5" hidden="false" customHeight="true" outlineLevel="0" collapsed="false">
      <c r="A25" s="77" t="s">
        <v>88</v>
      </c>
      <c r="F25" s="91"/>
      <c r="H25" s="87"/>
      <c r="I25" s="103" t="n">
        <f aca="false">I23</f>
        <v>0</v>
      </c>
      <c r="J25" s="100"/>
      <c r="K25" s="103" t="n">
        <f aca="false">K23</f>
        <v>0</v>
      </c>
      <c r="L25" s="88"/>
      <c r="Q25" s="104"/>
      <c r="R25" s="104"/>
    </row>
    <row r="26" s="77" customFormat="true" ht="11.25" hidden="false" customHeight="true" outlineLevel="0" collapsed="false">
      <c r="F26" s="91"/>
      <c r="H26" s="87"/>
      <c r="I26" s="86"/>
      <c r="J26" s="87"/>
      <c r="K26" s="87"/>
      <c r="L26" s="88"/>
    </row>
    <row r="27" s="77" customFormat="true" ht="22.5" hidden="false" customHeight="true" outlineLevel="0" collapsed="false">
      <c r="A27" s="77" t="s">
        <v>89</v>
      </c>
      <c r="F27" s="93"/>
      <c r="H27" s="87"/>
      <c r="I27" s="86"/>
      <c r="J27" s="87"/>
      <c r="K27" s="86"/>
      <c r="L27" s="88"/>
    </row>
    <row r="28" s="77" customFormat="true" ht="22.5" hidden="false" customHeight="true" outlineLevel="0" collapsed="false">
      <c r="C28" s="77" t="s">
        <v>90</v>
      </c>
      <c r="F28" s="93"/>
      <c r="H28" s="87"/>
      <c r="I28" s="105"/>
      <c r="J28" s="87"/>
      <c r="K28" s="105"/>
      <c r="L28" s="88"/>
      <c r="M28" s="98"/>
    </row>
    <row r="29" s="77" customFormat="true" ht="22.5" hidden="false" customHeight="true" outlineLevel="0" collapsed="false">
      <c r="F29" s="93"/>
      <c r="H29" s="87"/>
      <c r="I29" s="86"/>
      <c r="J29" s="87"/>
      <c r="K29" s="86"/>
    </row>
    <row r="30" s="77" customFormat="true" ht="22.5" hidden="false" customHeight="true" outlineLevel="0" collapsed="false">
      <c r="F30" s="93"/>
      <c r="H30" s="87"/>
      <c r="I30" s="106"/>
      <c r="J30" s="87"/>
      <c r="K30" s="87"/>
    </row>
    <row r="31" s="77" customFormat="true" ht="24" hidden="false" customHeight="true" outlineLevel="0" collapsed="false">
      <c r="F31" s="93"/>
      <c r="H31" s="87"/>
      <c r="I31" s="107"/>
      <c r="J31" s="87"/>
      <c r="K31" s="87"/>
    </row>
    <row r="32" s="77" customFormat="true" ht="24" hidden="false" customHeight="true" outlineLevel="0" collapsed="false">
      <c r="F32" s="93"/>
      <c r="H32" s="87"/>
      <c r="I32" s="108"/>
      <c r="J32" s="87"/>
      <c r="K32" s="87"/>
    </row>
    <row r="33" s="77" customFormat="true" ht="24" hidden="false" customHeight="true" outlineLevel="0" collapsed="false">
      <c r="F33" s="93"/>
      <c r="H33" s="87"/>
      <c r="I33" s="86"/>
      <c r="J33" s="87"/>
      <c r="K33" s="87"/>
    </row>
    <row r="34" s="77" customFormat="true" ht="24" hidden="false" customHeight="true" outlineLevel="0" collapsed="false">
      <c r="F34" s="93"/>
      <c r="H34" s="87"/>
      <c r="I34" s="86"/>
      <c r="J34" s="87"/>
      <c r="K34" s="87"/>
    </row>
    <row r="35" s="77" customFormat="true" ht="24" hidden="false" customHeight="true" outlineLevel="0" collapsed="false">
      <c r="F35" s="93"/>
      <c r="H35" s="87"/>
      <c r="I35" s="86"/>
      <c r="J35" s="87"/>
      <c r="K35" s="87"/>
    </row>
    <row r="36" s="77" customFormat="true" ht="24" hidden="false" customHeight="true" outlineLevel="0" collapsed="false">
      <c r="F36" s="93"/>
      <c r="H36" s="87"/>
      <c r="I36" s="86"/>
      <c r="J36" s="87"/>
      <c r="K36" s="87"/>
    </row>
    <row r="37" s="77" customFormat="true" ht="24" hidden="false" customHeight="true" outlineLevel="0" collapsed="false">
      <c r="F37" s="93"/>
      <c r="H37" s="87"/>
      <c r="I37" s="86"/>
      <c r="J37" s="87"/>
      <c r="K37" s="87"/>
    </row>
    <row r="38" s="77" customFormat="true" ht="24" hidden="false" customHeight="true" outlineLevel="0" collapsed="false">
      <c r="F38" s="93"/>
      <c r="H38" s="87"/>
      <c r="I38" s="86"/>
      <c r="J38" s="87"/>
      <c r="K38" s="87"/>
    </row>
    <row r="39" s="77" customFormat="true" ht="24" hidden="false" customHeight="true" outlineLevel="0" collapsed="false">
      <c r="F39" s="93"/>
      <c r="H39" s="87"/>
      <c r="I39" s="86"/>
      <c r="J39" s="87"/>
      <c r="K39" s="87"/>
    </row>
    <row r="40" s="77" customFormat="true" ht="24" hidden="false" customHeight="true" outlineLevel="0" collapsed="false">
      <c r="F40" s="93"/>
      <c r="H40" s="87"/>
      <c r="I40" s="86"/>
      <c r="J40" s="87"/>
      <c r="K40" s="87"/>
    </row>
  </sheetData>
  <mergeCells count="5">
    <mergeCell ref="A3:K3"/>
    <mergeCell ref="A4:K4"/>
    <mergeCell ref="A5:K5"/>
    <mergeCell ref="A6:K6"/>
    <mergeCell ref="I8:K8"/>
  </mergeCells>
  <printOptions headings="false" gridLines="false" gridLinesSet="true" horizontalCentered="false" verticalCentered="false"/>
  <pageMargins left="1.02361111111111" right="0.39375" top="0.511805555555556" bottom="1.18125" header="0.511811023622047" footer="1.181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&amp;L&amp;"Angsana New,Regular"&amp;16 หมายเหตุประกอบงบการเงินระหว่างกาลเป็นส่วนหนึ่งของงบการเงินระหว่างกาลนี้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P30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70" zoomScalePageLayoutView="100" workbookViewId="0">
      <selection pane="topLeft" activeCell="E10" activeCellId="0" sqref="E10"/>
    </sheetView>
  </sheetViews>
  <sheetFormatPr defaultColWidth="8.2890625" defaultRowHeight="24" zeroHeight="false" outlineLevelRow="0" outlineLevelCol="0"/>
  <cols>
    <col collapsed="false" customWidth="true" hidden="false" outlineLevel="0" max="2" min="1" style="109" width="1.42"/>
    <col collapsed="false" customWidth="true" hidden="false" outlineLevel="0" max="3" min="3" style="109" width="24"/>
    <col collapsed="false" customWidth="true" hidden="false" outlineLevel="0" max="4" min="4" style="109" width="0.42"/>
    <col collapsed="false" customWidth="true" hidden="false" outlineLevel="0" max="5" min="5" style="109" width="12.57"/>
    <col collapsed="false" customWidth="true" hidden="false" outlineLevel="0" max="6" min="6" style="109" width="0.42"/>
    <col collapsed="false" customWidth="true" hidden="false" outlineLevel="0" max="7" min="7" style="109" width="12.57"/>
    <col collapsed="false" customWidth="true" hidden="false" outlineLevel="0" max="8" min="8" style="109" width="0.42"/>
    <col collapsed="false" customWidth="true" hidden="false" outlineLevel="0" max="9" min="9" style="109" width="12.57"/>
    <col collapsed="false" customWidth="true" hidden="false" outlineLevel="0" max="10" min="10" style="109" width="0.42"/>
    <col collapsed="false" customWidth="true" hidden="false" outlineLevel="0" max="11" min="11" style="109" width="12.57"/>
    <col collapsed="false" customWidth="true" hidden="false" outlineLevel="0" max="12" min="12" style="109" width="0.42"/>
    <col collapsed="false" customWidth="true" hidden="false" outlineLevel="0" max="13" min="13" style="109" width="12.57"/>
    <col collapsed="false" customWidth="true" hidden="false" outlineLevel="0" max="14" min="14" style="109" width="11.14"/>
    <col collapsed="false" customWidth="true" hidden="false" outlineLevel="0" max="16" min="15" style="109" width="9.57"/>
    <col collapsed="false" customWidth="false" hidden="false" outlineLevel="0" max="256" min="17" style="109" width="8.29"/>
    <col collapsed="false" customWidth="true" hidden="false" outlineLevel="0" max="258" min="257" style="109" width="1.42"/>
    <col collapsed="false" customWidth="true" hidden="false" outlineLevel="0" max="259" min="259" style="109" width="21.71"/>
    <col collapsed="false" customWidth="true" hidden="false" outlineLevel="0" max="260" min="260" style="109" width="0.42"/>
    <col collapsed="false" customWidth="true" hidden="false" outlineLevel="0" max="261" min="261" style="109" width="12.15"/>
    <col collapsed="false" customWidth="true" hidden="false" outlineLevel="0" max="262" min="262" style="109" width="0.42"/>
    <col collapsed="false" customWidth="true" hidden="false" outlineLevel="0" max="263" min="263" style="109" width="12.15"/>
    <col collapsed="false" customWidth="true" hidden="false" outlineLevel="0" max="264" min="264" style="109" width="0.42"/>
    <col collapsed="false" customWidth="true" hidden="false" outlineLevel="0" max="265" min="265" style="109" width="12.15"/>
    <col collapsed="false" customWidth="true" hidden="false" outlineLevel="0" max="266" min="266" style="109" width="0.42"/>
    <col collapsed="false" customWidth="true" hidden="false" outlineLevel="0" max="267" min="267" style="109" width="12.15"/>
    <col collapsed="false" customWidth="true" hidden="false" outlineLevel="0" max="268" min="268" style="109" width="0.42"/>
    <col collapsed="false" customWidth="true" hidden="false" outlineLevel="0" max="269" min="269" style="109" width="12.15"/>
    <col collapsed="false" customWidth="false" hidden="false" outlineLevel="0" max="270" min="270" style="109" width="8.29"/>
    <col collapsed="false" customWidth="true" hidden="false" outlineLevel="0" max="272" min="271" style="109" width="9.57"/>
    <col collapsed="false" customWidth="false" hidden="false" outlineLevel="0" max="512" min="273" style="109" width="8.29"/>
    <col collapsed="false" customWidth="true" hidden="false" outlineLevel="0" max="514" min="513" style="109" width="1.42"/>
    <col collapsed="false" customWidth="true" hidden="false" outlineLevel="0" max="515" min="515" style="109" width="21.71"/>
    <col collapsed="false" customWidth="true" hidden="false" outlineLevel="0" max="516" min="516" style="109" width="0.42"/>
    <col collapsed="false" customWidth="true" hidden="false" outlineLevel="0" max="517" min="517" style="109" width="12.15"/>
    <col collapsed="false" customWidth="true" hidden="false" outlineLevel="0" max="518" min="518" style="109" width="0.42"/>
    <col collapsed="false" customWidth="true" hidden="false" outlineLevel="0" max="519" min="519" style="109" width="12.15"/>
    <col collapsed="false" customWidth="true" hidden="false" outlineLevel="0" max="520" min="520" style="109" width="0.42"/>
    <col collapsed="false" customWidth="true" hidden="false" outlineLevel="0" max="521" min="521" style="109" width="12.15"/>
    <col collapsed="false" customWidth="true" hidden="false" outlineLevel="0" max="522" min="522" style="109" width="0.42"/>
    <col collapsed="false" customWidth="true" hidden="false" outlineLevel="0" max="523" min="523" style="109" width="12.15"/>
    <col collapsed="false" customWidth="true" hidden="false" outlineLevel="0" max="524" min="524" style="109" width="0.42"/>
    <col collapsed="false" customWidth="true" hidden="false" outlineLevel="0" max="525" min="525" style="109" width="12.15"/>
    <col collapsed="false" customWidth="false" hidden="false" outlineLevel="0" max="526" min="526" style="109" width="8.29"/>
    <col collapsed="false" customWidth="true" hidden="false" outlineLevel="0" max="528" min="527" style="109" width="9.57"/>
    <col collapsed="false" customWidth="false" hidden="false" outlineLevel="0" max="768" min="529" style="109" width="8.29"/>
    <col collapsed="false" customWidth="true" hidden="false" outlineLevel="0" max="770" min="769" style="109" width="1.42"/>
    <col collapsed="false" customWidth="true" hidden="false" outlineLevel="0" max="771" min="771" style="109" width="21.71"/>
    <col collapsed="false" customWidth="true" hidden="false" outlineLevel="0" max="772" min="772" style="109" width="0.42"/>
    <col collapsed="false" customWidth="true" hidden="false" outlineLevel="0" max="773" min="773" style="109" width="12.15"/>
    <col collapsed="false" customWidth="true" hidden="false" outlineLevel="0" max="774" min="774" style="109" width="0.42"/>
    <col collapsed="false" customWidth="true" hidden="false" outlineLevel="0" max="775" min="775" style="109" width="12.15"/>
    <col collapsed="false" customWidth="true" hidden="false" outlineLevel="0" max="776" min="776" style="109" width="0.42"/>
    <col collapsed="false" customWidth="true" hidden="false" outlineLevel="0" max="777" min="777" style="109" width="12.15"/>
    <col collapsed="false" customWidth="true" hidden="false" outlineLevel="0" max="778" min="778" style="109" width="0.42"/>
    <col collapsed="false" customWidth="true" hidden="false" outlineLevel="0" max="779" min="779" style="109" width="12.15"/>
    <col collapsed="false" customWidth="true" hidden="false" outlineLevel="0" max="780" min="780" style="109" width="0.42"/>
    <col collapsed="false" customWidth="true" hidden="false" outlineLevel="0" max="781" min="781" style="109" width="12.15"/>
    <col collapsed="false" customWidth="false" hidden="false" outlineLevel="0" max="782" min="782" style="109" width="8.29"/>
    <col collapsed="false" customWidth="true" hidden="false" outlineLevel="0" max="784" min="783" style="109" width="9.57"/>
    <col collapsed="false" customWidth="false" hidden="false" outlineLevel="0" max="1024" min="785" style="109" width="8.29"/>
    <col collapsed="false" customWidth="true" hidden="false" outlineLevel="0" max="1026" min="1025" style="109" width="1.42"/>
    <col collapsed="false" customWidth="true" hidden="false" outlineLevel="0" max="1027" min="1027" style="109" width="21.71"/>
    <col collapsed="false" customWidth="true" hidden="false" outlineLevel="0" max="1028" min="1028" style="109" width="0.42"/>
    <col collapsed="false" customWidth="true" hidden="false" outlineLevel="0" max="1029" min="1029" style="109" width="12.15"/>
    <col collapsed="false" customWidth="true" hidden="false" outlineLevel="0" max="1030" min="1030" style="109" width="0.42"/>
    <col collapsed="false" customWidth="true" hidden="false" outlineLevel="0" max="1031" min="1031" style="109" width="12.15"/>
    <col collapsed="false" customWidth="true" hidden="false" outlineLevel="0" max="1032" min="1032" style="109" width="0.42"/>
    <col collapsed="false" customWidth="true" hidden="false" outlineLevel="0" max="1033" min="1033" style="109" width="12.15"/>
    <col collapsed="false" customWidth="true" hidden="false" outlineLevel="0" max="1034" min="1034" style="109" width="0.42"/>
    <col collapsed="false" customWidth="true" hidden="false" outlineLevel="0" max="1035" min="1035" style="109" width="12.15"/>
    <col collapsed="false" customWidth="true" hidden="false" outlineLevel="0" max="1036" min="1036" style="109" width="0.42"/>
    <col collapsed="false" customWidth="true" hidden="false" outlineLevel="0" max="1037" min="1037" style="109" width="12.15"/>
    <col collapsed="false" customWidth="false" hidden="false" outlineLevel="0" max="1038" min="1038" style="109" width="8.29"/>
    <col collapsed="false" customWidth="true" hidden="false" outlineLevel="0" max="1040" min="1039" style="109" width="9.57"/>
    <col collapsed="false" customWidth="false" hidden="false" outlineLevel="0" max="1280" min="1041" style="109" width="8.29"/>
    <col collapsed="false" customWidth="true" hidden="false" outlineLevel="0" max="1282" min="1281" style="109" width="1.42"/>
    <col collapsed="false" customWidth="true" hidden="false" outlineLevel="0" max="1283" min="1283" style="109" width="21.71"/>
    <col collapsed="false" customWidth="true" hidden="false" outlineLevel="0" max="1284" min="1284" style="109" width="0.42"/>
    <col collapsed="false" customWidth="true" hidden="false" outlineLevel="0" max="1285" min="1285" style="109" width="12.15"/>
    <col collapsed="false" customWidth="true" hidden="false" outlineLevel="0" max="1286" min="1286" style="109" width="0.42"/>
    <col collapsed="false" customWidth="true" hidden="false" outlineLevel="0" max="1287" min="1287" style="109" width="12.15"/>
    <col collapsed="false" customWidth="true" hidden="false" outlineLevel="0" max="1288" min="1288" style="109" width="0.42"/>
    <col collapsed="false" customWidth="true" hidden="false" outlineLevel="0" max="1289" min="1289" style="109" width="12.15"/>
    <col collapsed="false" customWidth="true" hidden="false" outlineLevel="0" max="1290" min="1290" style="109" width="0.42"/>
    <col collapsed="false" customWidth="true" hidden="false" outlineLevel="0" max="1291" min="1291" style="109" width="12.15"/>
    <col collapsed="false" customWidth="true" hidden="false" outlineLevel="0" max="1292" min="1292" style="109" width="0.42"/>
    <col collapsed="false" customWidth="true" hidden="false" outlineLevel="0" max="1293" min="1293" style="109" width="12.15"/>
    <col collapsed="false" customWidth="false" hidden="false" outlineLevel="0" max="1294" min="1294" style="109" width="8.29"/>
    <col collapsed="false" customWidth="true" hidden="false" outlineLevel="0" max="1296" min="1295" style="109" width="9.57"/>
    <col collapsed="false" customWidth="false" hidden="false" outlineLevel="0" max="1536" min="1297" style="109" width="8.29"/>
    <col collapsed="false" customWidth="true" hidden="false" outlineLevel="0" max="1538" min="1537" style="109" width="1.42"/>
    <col collapsed="false" customWidth="true" hidden="false" outlineLevel="0" max="1539" min="1539" style="109" width="21.71"/>
    <col collapsed="false" customWidth="true" hidden="false" outlineLevel="0" max="1540" min="1540" style="109" width="0.42"/>
    <col collapsed="false" customWidth="true" hidden="false" outlineLevel="0" max="1541" min="1541" style="109" width="12.15"/>
    <col collapsed="false" customWidth="true" hidden="false" outlineLevel="0" max="1542" min="1542" style="109" width="0.42"/>
    <col collapsed="false" customWidth="true" hidden="false" outlineLevel="0" max="1543" min="1543" style="109" width="12.15"/>
    <col collapsed="false" customWidth="true" hidden="false" outlineLevel="0" max="1544" min="1544" style="109" width="0.42"/>
    <col collapsed="false" customWidth="true" hidden="false" outlineLevel="0" max="1545" min="1545" style="109" width="12.15"/>
    <col collapsed="false" customWidth="true" hidden="false" outlineLevel="0" max="1546" min="1546" style="109" width="0.42"/>
    <col collapsed="false" customWidth="true" hidden="false" outlineLevel="0" max="1547" min="1547" style="109" width="12.15"/>
    <col collapsed="false" customWidth="true" hidden="false" outlineLevel="0" max="1548" min="1548" style="109" width="0.42"/>
    <col collapsed="false" customWidth="true" hidden="false" outlineLevel="0" max="1549" min="1549" style="109" width="12.15"/>
    <col collapsed="false" customWidth="false" hidden="false" outlineLevel="0" max="1550" min="1550" style="109" width="8.29"/>
    <col collapsed="false" customWidth="true" hidden="false" outlineLevel="0" max="1552" min="1551" style="109" width="9.57"/>
    <col collapsed="false" customWidth="false" hidden="false" outlineLevel="0" max="1792" min="1553" style="109" width="8.29"/>
    <col collapsed="false" customWidth="true" hidden="false" outlineLevel="0" max="1794" min="1793" style="109" width="1.42"/>
    <col collapsed="false" customWidth="true" hidden="false" outlineLevel="0" max="1795" min="1795" style="109" width="21.71"/>
    <col collapsed="false" customWidth="true" hidden="false" outlineLevel="0" max="1796" min="1796" style="109" width="0.42"/>
    <col collapsed="false" customWidth="true" hidden="false" outlineLevel="0" max="1797" min="1797" style="109" width="12.15"/>
    <col collapsed="false" customWidth="true" hidden="false" outlineLevel="0" max="1798" min="1798" style="109" width="0.42"/>
    <col collapsed="false" customWidth="true" hidden="false" outlineLevel="0" max="1799" min="1799" style="109" width="12.15"/>
    <col collapsed="false" customWidth="true" hidden="false" outlineLevel="0" max="1800" min="1800" style="109" width="0.42"/>
    <col collapsed="false" customWidth="true" hidden="false" outlineLevel="0" max="1801" min="1801" style="109" width="12.15"/>
    <col collapsed="false" customWidth="true" hidden="false" outlineLevel="0" max="1802" min="1802" style="109" width="0.42"/>
    <col collapsed="false" customWidth="true" hidden="false" outlineLevel="0" max="1803" min="1803" style="109" width="12.15"/>
    <col collapsed="false" customWidth="true" hidden="false" outlineLevel="0" max="1804" min="1804" style="109" width="0.42"/>
    <col collapsed="false" customWidth="true" hidden="false" outlineLevel="0" max="1805" min="1805" style="109" width="12.15"/>
    <col collapsed="false" customWidth="false" hidden="false" outlineLevel="0" max="1806" min="1806" style="109" width="8.29"/>
    <col collapsed="false" customWidth="true" hidden="false" outlineLevel="0" max="1808" min="1807" style="109" width="9.57"/>
    <col collapsed="false" customWidth="false" hidden="false" outlineLevel="0" max="2048" min="1809" style="109" width="8.29"/>
    <col collapsed="false" customWidth="true" hidden="false" outlineLevel="0" max="2050" min="2049" style="109" width="1.42"/>
    <col collapsed="false" customWidth="true" hidden="false" outlineLevel="0" max="2051" min="2051" style="109" width="21.71"/>
    <col collapsed="false" customWidth="true" hidden="false" outlineLevel="0" max="2052" min="2052" style="109" width="0.42"/>
    <col collapsed="false" customWidth="true" hidden="false" outlineLevel="0" max="2053" min="2053" style="109" width="12.15"/>
    <col collapsed="false" customWidth="true" hidden="false" outlineLevel="0" max="2054" min="2054" style="109" width="0.42"/>
    <col collapsed="false" customWidth="true" hidden="false" outlineLevel="0" max="2055" min="2055" style="109" width="12.15"/>
    <col collapsed="false" customWidth="true" hidden="false" outlineLevel="0" max="2056" min="2056" style="109" width="0.42"/>
    <col collapsed="false" customWidth="true" hidden="false" outlineLevel="0" max="2057" min="2057" style="109" width="12.15"/>
    <col collapsed="false" customWidth="true" hidden="false" outlineLevel="0" max="2058" min="2058" style="109" width="0.42"/>
    <col collapsed="false" customWidth="true" hidden="false" outlineLevel="0" max="2059" min="2059" style="109" width="12.15"/>
    <col collapsed="false" customWidth="true" hidden="false" outlineLevel="0" max="2060" min="2060" style="109" width="0.42"/>
    <col collapsed="false" customWidth="true" hidden="false" outlineLevel="0" max="2061" min="2061" style="109" width="12.15"/>
    <col collapsed="false" customWidth="false" hidden="false" outlineLevel="0" max="2062" min="2062" style="109" width="8.29"/>
    <col collapsed="false" customWidth="true" hidden="false" outlineLevel="0" max="2064" min="2063" style="109" width="9.57"/>
    <col collapsed="false" customWidth="false" hidden="false" outlineLevel="0" max="2304" min="2065" style="109" width="8.29"/>
    <col collapsed="false" customWidth="true" hidden="false" outlineLevel="0" max="2306" min="2305" style="109" width="1.42"/>
    <col collapsed="false" customWidth="true" hidden="false" outlineLevel="0" max="2307" min="2307" style="109" width="21.71"/>
    <col collapsed="false" customWidth="true" hidden="false" outlineLevel="0" max="2308" min="2308" style="109" width="0.42"/>
    <col collapsed="false" customWidth="true" hidden="false" outlineLevel="0" max="2309" min="2309" style="109" width="12.15"/>
    <col collapsed="false" customWidth="true" hidden="false" outlineLevel="0" max="2310" min="2310" style="109" width="0.42"/>
    <col collapsed="false" customWidth="true" hidden="false" outlineLevel="0" max="2311" min="2311" style="109" width="12.15"/>
    <col collapsed="false" customWidth="true" hidden="false" outlineLevel="0" max="2312" min="2312" style="109" width="0.42"/>
    <col collapsed="false" customWidth="true" hidden="false" outlineLevel="0" max="2313" min="2313" style="109" width="12.15"/>
    <col collapsed="false" customWidth="true" hidden="false" outlineLevel="0" max="2314" min="2314" style="109" width="0.42"/>
    <col collapsed="false" customWidth="true" hidden="false" outlineLevel="0" max="2315" min="2315" style="109" width="12.15"/>
    <col collapsed="false" customWidth="true" hidden="false" outlineLevel="0" max="2316" min="2316" style="109" width="0.42"/>
    <col collapsed="false" customWidth="true" hidden="false" outlineLevel="0" max="2317" min="2317" style="109" width="12.15"/>
    <col collapsed="false" customWidth="false" hidden="false" outlineLevel="0" max="2318" min="2318" style="109" width="8.29"/>
    <col collapsed="false" customWidth="true" hidden="false" outlineLevel="0" max="2320" min="2319" style="109" width="9.57"/>
    <col collapsed="false" customWidth="false" hidden="false" outlineLevel="0" max="2560" min="2321" style="109" width="8.29"/>
    <col collapsed="false" customWidth="true" hidden="false" outlineLevel="0" max="2562" min="2561" style="109" width="1.42"/>
    <col collapsed="false" customWidth="true" hidden="false" outlineLevel="0" max="2563" min="2563" style="109" width="21.71"/>
    <col collapsed="false" customWidth="true" hidden="false" outlineLevel="0" max="2564" min="2564" style="109" width="0.42"/>
    <col collapsed="false" customWidth="true" hidden="false" outlineLevel="0" max="2565" min="2565" style="109" width="12.15"/>
    <col collapsed="false" customWidth="true" hidden="false" outlineLevel="0" max="2566" min="2566" style="109" width="0.42"/>
    <col collapsed="false" customWidth="true" hidden="false" outlineLevel="0" max="2567" min="2567" style="109" width="12.15"/>
    <col collapsed="false" customWidth="true" hidden="false" outlineLevel="0" max="2568" min="2568" style="109" width="0.42"/>
    <col collapsed="false" customWidth="true" hidden="false" outlineLevel="0" max="2569" min="2569" style="109" width="12.15"/>
    <col collapsed="false" customWidth="true" hidden="false" outlineLevel="0" max="2570" min="2570" style="109" width="0.42"/>
    <col collapsed="false" customWidth="true" hidden="false" outlineLevel="0" max="2571" min="2571" style="109" width="12.15"/>
    <col collapsed="false" customWidth="true" hidden="false" outlineLevel="0" max="2572" min="2572" style="109" width="0.42"/>
    <col collapsed="false" customWidth="true" hidden="false" outlineLevel="0" max="2573" min="2573" style="109" width="12.15"/>
    <col collapsed="false" customWidth="false" hidden="false" outlineLevel="0" max="2574" min="2574" style="109" width="8.29"/>
    <col collapsed="false" customWidth="true" hidden="false" outlineLevel="0" max="2576" min="2575" style="109" width="9.57"/>
    <col collapsed="false" customWidth="false" hidden="false" outlineLevel="0" max="2816" min="2577" style="109" width="8.29"/>
    <col collapsed="false" customWidth="true" hidden="false" outlineLevel="0" max="2818" min="2817" style="109" width="1.42"/>
    <col collapsed="false" customWidth="true" hidden="false" outlineLevel="0" max="2819" min="2819" style="109" width="21.71"/>
    <col collapsed="false" customWidth="true" hidden="false" outlineLevel="0" max="2820" min="2820" style="109" width="0.42"/>
    <col collapsed="false" customWidth="true" hidden="false" outlineLevel="0" max="2821" min="2821" style="109" width="12.15"/>
    <col collapsed="false" customWidth="true" hidden="false" outlineLevel="0" max="2822" min="2822" style="109" width="0.42"/>
    <col collapsed="false" customWidth="true" hidden="false" outlineLevel="0" max="2823" min="2823" style="109" width="12.15"/>
    <col collapsed="false" customWidth="true" hidden="false" outlineLevel="0" max="2824" min="2824" style="109" width="0.42"/>
    <col collapsed="false" customWidth="true" hidden="false" outlineLevel="0" max="2825" min="2825" style="109" width="12.15"/>
    <col collapsed="false" customWidth="true" hidden="false" outlineLevel="0" max="2826" min="2826" style="109" width="0.42"/>
    <col collapsed="false" customWidth="true" hidden="false" outlineLevel="0" max="2827" min="2827" style="109" width="12.15"/>
    <col collapsed="false" customWidth="true" hidden="false" outlineLevel="0" max="2828" min="2828" style="109" width="0.42"/>
    <col collapsed="false" customWidth="true" hidden="false" outlineLevel="0" max="2829" min="2829" style="109" width="12.15"/>
    <col collapsed="false" customWidth="false" hidden="false" outlineLevel="0" max="2830" min="2830" style="109" width="8.29"/>
    <col collapsed="false" customWidth="true" hidden="false" outlineLevel="0" max="2832" min="2831" style="109" width="9.57"/>
    <col collapsed="false" customWidth="false" hidden="false" outlineLevel="0" max="3072" min="2833" style="109" width="8.29"/>
    <col collapsed="false" customWidth="true" hidden="false" outlineLevel="0" max="3074" min="3073" style="109" width="1.42"/>
    <col collapsed="false" customWidth="true" hidden="false" outlineLevel="0" max="3075" min="3075" style="109" width="21.71"/>
    <col collapsed="false" customWidth="true" hidden="false" outlineLevel="0" max="3076" min="3076" style="109" width="0.42"/>
    <col collapsed="false" customWidth="true" hidden="false" outlineLevel="0" max="3077" min="3077" style="109" width="12.15"/>
    <col collapsed="false" customWidth="true" hidden="false" outlineLevel="0" max="3078" min="3078" style="109" width="0.42"/>
    <col collapsed="false" customWidth="true" hidden="false" outlineLevel="0" max="3079" min="3079" style="109" width="12.15"/>
    <col collapsed="false" customWidth="true" hidden="false" outlineLevel="0" max="3080" min="3080" style="109" width="0.42"/>
    <col collapsed="false" customWidth="true" hidden="false" outlineLevel="0" max="3081" min="3081" style="109" width="12.15"/>
    <col collapsed="false" customWidth="true" hidden="false" outlineLevel="0" max="3082" min="3082" style="109" width="0.42"/>
    <col collapsed="false" customWidth="true" hidden="false" outlineLevel="0" max="3083" min="3083" style="109" width="12.15"/>
    <col collapsed="false" customWidth="true" hidden="false" outlineLevel="0" max="3084" min="3084" style="109" width="0.42"/>
    <col collapsed="false" customWidth="true" hidden="false" outlineLevel="0" max="3085" min="3085" style="109" width="12.15"/>
    <col collapsed="false" customWidth="false" hidden="false" outlineLevel="0" max="3086" min="3086" style="109" width="8.29"/>
    <col collapsed="false" customWidth="true" hidden="false" outlineLevel="0" max="3088" min="3087" style="109" width="9.57"/>
    <col collapsed="false" customWidth="false" hidden="false" outlineLevel="0" max="3328" min="3089" style="109" width="8.29"/>
    <col collapsed="false" customWidth="true" hidden="false" outlineLevel="0" max="3330" min="3329" style="109" width="1.42"/>
    <col collapsed="false" customWidth="true" hidden="false" outlineLevel="0" max="3331" min="3331" style="109" width="21.71"/>
    <col collapsed="false" customWidth="true" hidden="false" outlineLevel="0" max="3332" min="3332" style="109" width="0.42"/>
    <col collapsed="false" customWidth="true" hidden="false" outlineLevel="0" max="3333" min="3333" style="109" width="12.15"/>
    <col collapsed="false" customWidth="true" hidden="false" outlineLevel="0" max="3334" min="3334" style="109" width="0.42"/>
    <col collapsed="false" customWidth="true" hidden="false" outlineLevel="0" max="3335" min="3335" style="109" width="12.15"/>
    <col collapsed="false" customWidth="true" hidden="false" outlineLevel="0" max="3336" min="3336" style="109" width="0.42"/>
    <col collapsed="false" customWidth="true" hidden="false" outlineLevel="0" max="3337" min="3337" style="109" width="12.15"/>
    <col collapsed="false" customWidth="true" hidden="false" outlineLevel="0" max="3338" min="3338" style="109" width="0.42"/>
    <col collapsed="false" customWidth="true" hidden="false" outlineLevel="0" max="3339" min="3339" style="109" width="12.15"/>
    <col collapsed="false" customWidth="true" hidden="false" outlineLevel="0" max="3340" min="3340" style="109" width="0.42"/>
    <col collapsed="false" customWidth="true" hidden="false" outlineLevel="0" max="3341" min="3341" style="109" width="12.15"/>
    <col collapsed="false" customWidth="false" hidden="false" outlineLevel="0" max="3342" min="3342" style="109" width="8.29"/>
    <col collapsed="false" customWidth="true" hidden="false" outlineLevel="0" max="3344" min="3343" style="109" width="9.57"/>
    <col collapsed="false" customWidth="false" hidden="false" outlineLevel="0" max="3584" min="3345" style="109" width="8.29"/>
    <col collapsed="false" customWidth="true" hidden="false" outlineLevel="0" max="3586" min="3585" style="109" width="1.42"/>
    <col collapsed="false" customWidth="true" hidden="false" outlineLevel="0" max="3587" min="3587" style="109" width="21.71"/>
    <col collapsed="false" customWidth="true" hidden="false" outlineLevel="0" max="3588" min="3588" style="109" width="0.42"/>
    <col collapsed="false" customWidth="true" hidden="false" outlineLevel="0" max="3589" min="3589" style="109" width="12.15"/>
    <col collapsed="false" customWidth="true" hidden="false" outlineLevel="0" max="3590" min="3590" style="109" width="0.42"/>
    <col collapsed="false" customWidth="true" hidden="false" outlineLevel="0" max="3591" min="3591" style="109" width="12.15"/>
    <col collapsed="false" customWidth="true" hidden="false" outlineLevel="0" max="3592" min="3592" style="109" width="0.42"/>
    <col collapsed="false" customWidth="true" hidden="false" outlineLevel="0" max="3593" min="3593" style="109" width="12.15"/>
    <col collapsed="false" customWidth="true" hidden="false" outlineLevel="0" max="3594" min="3594" style="109" width="0.42"/>
    <col collapsed="false" customWidth="true" hidden="false" outlineLevel="0" max="3595" min="3595" style="109" width="12.15"/>
    <col collapsed="false" customWidth="true" hidden="false" outlineLevel="0" max="3596" min="3596" style="109" width="0.42"/>
    <col collapsed="false" customWidth="true" hidden="false" outlineLevel="0" max="3597" min="3597" style="109" width="12.15"/>
    <col collapsed="false" customWidth="false" hidden="false" outlineLevel="0" max="3598" min="3598" style="109" width="8.29"/>
    <col collapsed="false" customWidth="true" hidden="false" outlineLevel="0" max="3600" min="3599" style="109" width="9.57"/>
    <col collapsed="false" customWidth="false" hidden="false" outlineLevel="0" max="3840" min="3601" style="109" width="8.29"/>
    <col collapsed="false" customWidth="true" hidden="false" outlineLevel="0" max="3842" min="3841" style="109" width="1.42"/>
    <col collapsed="false" customWidth="true" hidden="false" outlineLevel="0" max="3843" min="3843" style="109" width="21.71"/>
    <col collapsed="false" customWidth="true" hidden="false" outlineLevel="0" max="3844" min="3844" style="109" width="0.42"/>
    <col collapsed="false" customWidth="true" hidden="false" outlineLevel="0" max="3845" min="3845" style="109" width="12.15"/>
    <col collapsed="false" customWidth="true" hidden="false" outlineLevel="0" max="3846" min="3846" style="109" width="0.42"/>
    <col collapsed="false" customWidth="true" hidden="false" outlineLevel="0" max="3847" min="3847" style="109" width="12.15"/>
    <col collapsed="false" customWidth="true" hidden="false" outlineLevel="0" max="3848" min="3848" style="109" width="0.42"/>
    <col collapsed="false" customWidth="true" hidden="false" outlineLevel="0" max="3849" min="3849" style="109" width="12.15"/>
    <col collapsed="false" customWidth="true" hidden="false" outlineLevel="0" max="3850" min="3850" style="109" width="0.42"/>
    <col collapsed="false" customWidth="true" hidden="false" outlineLevel="0" max="3851" min="3851" style="109" width="12.15"/>
    <col collapsed="false" customWidth="true" hidden="false" outlineLevel="0" max="3852" min="3852" style="109" width="0.42"/>
    <col collapsed="false" customWidth="true" hidden="false" outlineLevel="0" max="3853" min="3853" style="109" width="12.15"/>
    <col collapsed="false" customWidth="false" hidden="false" outlineLevel="0" max="3854" min="3854" style="109" width="8.29"/>
    <col collapsed="false" customWidth="true" hidden="false" outlineLevel="0" max="3856" min="3855" style="109" width="9.57"/>
    <col collapsed="false" customWidth="false" hidden="false" outlineLevel="0" max="4096" min="3857" style="109" width="8.29"/>
    <col collapsed="false" customWidth="true" hidden="false" outlineLevel="0" max="4098" min="4097" style="109" width="1.42"/>
    <col collapsed="false" customWidth="true" hidden="false" outlineLevel="0" max="4099" min="4099" style="109" width="21.71"/>
    <col collapsed="false" customWidth="true" hidden="false" outlineLevel="0" max="4100" min="4100" style="109" width="0.42"/>
    <col collapsed="false" customWidth="true" hidden="false" outlineLevel="0" max="4101" min="4101" style="109" width="12.15"/>
    <col collapsed="false" customWidth="true" hidden="false" outlineLevel="0" max="4102" min="4102" style="109" width="0.42"/>
    <col collapsed="false" customWidth="true" hidden="false" outlineLevel="0" max="4103" min="4103" style="109" width="12.15"/>
    <col collapsed="false" customWidth="true" hidden="false" outlineLevel="0" max="4104" min="4104" style="109" width="0.42"/>
    <col collapsed="false" customWidth="true" hidden="false" outlineLevel="0" max="4105" min="4105" style="109" width="12.15"/>
    <col collapsed="false" customWidth="true" hidden="false" outlineLevel="0" max="4106" min="4106" style="109" width="0.42"/>
    <col collapsed="false" customWidth="true" hidden="false" outlineLevel="0" max="4107" min="4107" style="109" width="12.15"/>
    <col collapsed="false" customWidth="true" hidden="false" outlineLevel="0" max="4108" min="4108" style="109" width="0.42"/>
    <col collapsed="false" customWidth="true" hidden="false" outlineLevel="0" max="4109" min="4109" style="109" width="12.15"/>
    <col collapsed="false" customWidth="false" hidden="false" outlineLevel="0" max="4110" min="4110" style="109" width="8.29"/>
    <col collapsed="false" customWidth="true" hidden="false" outlineLevel="0" max="4112" min="4111" style="109" width="9.57"/>
    <col collapsed="false" customWidth="false" hidden="false" outlineLevel="0" max="4352" min="4113" style="109" width="8.29"/>
    <col collapsed="false" customWidth="true" hidden="false" outlineLevel="0" max="4354" min="4353" style="109" width="1.42"/>
    <col collapsed="false" customWidth="true" hidden="false" outlineLevel="0" max="4355" min="4355" style="109" width="21.71"/>
    <col collapsed="false" customWidth="true" hidden="false" outlineLevel="0" max="4356" min="4356" style="109" width="0.42"/>
    <col collapsed="false" customWidth="true" hidden="false" outlineLevel="0" max="4357" min="4357" style="109" width="12.15"/>
    <col collapsed="false" customWidth="true" hidden="false" outlineLevel="0" max="4358" min="4358" style="109" width="0.42"/>
    <col collapsed="false" customWidth="true" hidden="false" outlineLevel="0" max="4359" min="4359" style="109" width="12.15"/>
    <col collapsed="false" customWidth="true" hidden="false" outlineLevel="0" max="4360" min="4360" style="109" width="0.42"/>
    <col collapsed="false" customWidth="true" hidden="false" outlineLevel="0" max="4361" min="4361" style="109" width="12.15"/>
    <col collapsed="false" customWidth="true" hidden="false" outlineLevel="0" max="4362" min="4362" style="109" width="0.42"/>
    <col collapsed="false" customWidth="true" hidden="false" outlineLevel="0" max="4363" min="4363" style="109" width="12.15"/>
    <col collapsed="false" customWidth="true" hidden="false" outlineLevel="0" max="4364" min="4364" style="109" width="0.42"/>
    <col collapsed="false" customWidth="true" hidden="false" outlineLevel="0" max="4365" min="4365" style="109" width="12.15"/>
    <col collapsed="false" customWidth="false" hidden="false" outlineLevel="0" max="4366" min="4366" style="109" width="8.29"/>
    <col collapsed="false" customWidth="true" hidden="false" outlineLevel="0" max="4368" min="4367" style="109" width="9.57"/>
    <col collapsed="false" customWidth="false" hidden="false" outlineLevel="0" max="4608" min="4369" style="109" width="8.29"/>
    <col collapsed="false" customWidth="true" hidden="false" outlineLevel="0" max="4610" min="4609" style="109" width="1.42"/>
    <col collapsed="false" customWidth="true" hidden="false" outlineLevel="0" max="4611" min="4611" style="109" width="21.71"/>
    <col collapsed="false" customWidth="true" hidden="false" outlineLevel="0" max="4612" min="4612" style="109" width="0.42"/>
    <col collapsed="false" customWidth="true" hidden="false" outlineLevel="0" max="4613" min="4613" style="109" width="12.15"/>
    <col collapsed="false" customWidth="true" hidden="false" outlineLevel="0" max="4614" min="4614" style="109" width="0.42"/>
    <col collapsed="false" customWidth="true" hidden="false" outlineLevel="0" max="4615" min="4615" style="109" width="12.15"/>
    <col collapsed="false" customWidth="true" hidden="false" outlineLevel="0" max="4616" min="4616" style="109" width="0.42"/>
    <col collapsed="false" customWidth="true" hidden="false" outlineLevel="0" max="4617" min="4617" style="109" width="12.15"/>
    <col collapsed="false" customWidth="true" hidden="false" outlineLevel="0" max="4618" min="4618" style="109" width="0.42"/>
    <col collapsed="false" customWidth="true" hidden="false" outlineLevel="0" max="4619" min="4619" style="109" width="12.15"/>
    <col collapsed="false" customWidth="true" hidden="false" outlineLevel="0" max="4620" min="4620" style="109" width="0.42"/>
    <col collapsed="false" customWidth="true" hidden="false" outlineLevel="0" max="4621" min="4621" style="109" width="12.15"/>
    <col collapsed="false" customWidth="false" hidden="false" outlineLevel="0" max="4622" min="4622" style="109" width="8.29"/>
    <col collapsed="false" customWidth="true" hidden="false" outlineLevel="0" max="4624" min="4623" style="109" width="9.57"/>
    <col collapsed="false" customWidth="false" hidden="false" outlineLevel="0" max="4864" min="4625" style="109" width="8.29"/>
    <col collapsed="false" customWidth="true" hidden="false" outlineLevel="0" max="4866" min="4865" style="109" width="1.42"/>
    <col collapsed="false" customWidth="true" hidden="false" outlineLevel="0" max="4867" min="4867" style="109" width="21.71"/>
    <col collapsed="false" customWidth="true" hidden="false" outlineLevel="0" max="4868" min="4868" style="109" width="0.42"/>
    <col collapsed="false" customWidth="true" hidden="false" outlineLevel="0" max="4869" min="4869" style="109" width="12.15"/>
    <col collapsed="false" customWidth="true" hidden="false" outlineLevel="0" max="4870" min="4870" style="109" width="0.42"/>
    <col collapsed="false" customWidth="true" hidden="false" outlineLevel="0" max="4871" min="4871" style="109" width="12.15"/>
    <col collapsed="false" customWidth="true" hidden="false" outlineLevel="0" max="4872" min="4872" style="109" width="0.42"/>
    <col collapsed="false" customWidth="true" hidden="false" outlineLevel="0" max="4873" min="4873" style="109" width="12.15"/>
    <col collapsed="false" customWidth="true" hidden="false" outlineLevel="0" max="4874" min="4874" style="109" width="0.42"/>
    <col collapsed="false" customWidth="true" hidden="false" outlineLevel="0" max="4875" min="4875" style="109" width="12.15"/>
    <col collapsed="false" customWidth="true" hidden="false" outlineLevel="0" max="4876" min="4876" style="109" width="0.42"/>
    <col collapsed="false" customWidth="true" hidden="false" outlineLevel="0" max="4877" min="4877" style="109" width="12.15"/>
    <col collapsed="false" customWidth="false" hidden="false" outlineLevel="0" max="4878" min="4878" style="109" width="8.29"/>
    <col collapsed="false" customWidth="true" hidden="false" outlineLevel="0" max="4880" min="4879" style="109" width="9.57"/>
    <col collapsed="false" customWidth="false" hidden="false" outlineLevel="0" max="5120" min="4881" style="109" width="8.29"/>
    <col collapsed="false" customWidth="true" hidden="false" outlineLevel="0" max="5122" min="5121" style="109" width="1.42"/>
    <col collapsed="false" customWidth="true" hidden="false" outlineLevel="0" max="5123" min="5123" style="109" width="21.71"/>
    <col collapsed="false" customWidth="true" hidden="false" outlineLevel="0" max="5124" min="5124" style="109" width="0.42"/>
    <col collapsed="false" customWidth="true" hidden="false" outlineLevel="0" max="5125" min="5125" style="109" width="12.15"/>
    <col collapsed="false" customWidth="true" hidden="false" outlineLevel="0" max="5126" min="5126" style="109" width="0.42"/>
    <col collapsed="false" customWidth="true" hidden="false" outlineLevel="0" max="5127" min="5127" style="109" width="12.15"/>
    <col collapsed="false" customWidth="true" hidden="false" outlineLevel="0" max="5128" min="5128" style="109" width="0.42"/>
    <col collapsed="false" customWidth="true" hidden="false" outlineLevel="0" max="5129" min="5129" style="109" width="12.15"/>
    <col collapsed="false" customWidth="true" hidden="false" outlineLevel="0" max="5130" min="5130" style="109" width="0.42"/>
    <col collapsed="false" customWidth="true" hidden="false" outlineLevel="0" max="5131" min="5131" style="109" width="12.15"/>
    <col collapsed="false" customWidth="true" hidden="false" outlineLevel="0" max="5132" min="5132" style="109" width="0.42"/>
    <col collapsed="false" customWidth="true" hidden="false" outlineLevel="0" max="5133" min="5133" style="109" width="12.15"/>
    <col collapsed="false" customWidth="false" hidden="false" outlineLevel="0" max="5134" min="5134" style="109" width="8.29"/>
    <col collapsed="false" customWidth="true" hidden="false" outlineLevel="0" max="5136" min="5135" style="109" width="9.57"/>
    <col collapsed="false" customWidth="false" hidden="false" outlineLevel="0" max="5376" min="5137" style="109" width="8.29"/>
    <col collapsed="false" customWidth="true" hidden="false" outlineLevel="0" max="5378" min="5377" style="109" width="1.42"/>
    <col collapsed="false" customWidth="true" hidden="false" outlineLevel="0" max="5379" min="5379" style="109" width="21.71"/>
    <col collapsed="false" customWidth="true" hidden="false" outlineLevel="0" max="5380" min="5380" style="109" width="0.42"/>
    <col collapsed="false" customWidth="true" hidden="false" outlineLevel="0" max="5381" min="5381" style="109" width="12.15"/>
    <col collapsed="false" customWidth="true" hidden="false" outlineLevel="0" max="5382" min="5382" style="109" width="0.42"/>
    <col collapsed="false" customWidth="true" hidden="false" outlineLevel="0" max="5383" min="5383" style="109" width="12.15"/>
    <col collapsed="false" customWidth="true" hidden="false" outlineLevel="0" max="5384" min="5384" style="109" width="0.42"/>
    <col collapsed="false" customWidth="true" hidden="false" outlineLevel="0" max="5385" min="5385" style="109" width="12.15"/>
    <col collapsed="false" customWidth="true" hidden="false" outlineLevel="0" max="5386" min="5386" style="109" width="0.42"/>
    <col collapsed="false" customWidth="true" hidden="false" outlineLevel="0" max="5387" min="5387" style="109" width="12.15"/>
    <col collapsed="false" customWidth="true" hidden="false" outlineLevel="0" max="5388" min="5388" style="109" width="0.42"/>
    <col collapsed="false" customWidth="true" hidden="false" outlineLevel="0" max="5389" min="5389" style="109" width="12.15"/>
    <col collapsed="false" customWidth="false" hidden="false" outlineLevel="0" max="5390" min="5390" style="109" width="8.29"/>
    <col collapsed="false" customWidth="true" hidden="false" outlineLevel="0" max="5392" min="5391" style="109" width="9.57"/>
    <col collapsed="false" customWidth="false" hidden="false" outlineLevel="0" max="5632" min="5393" style="109" width="8.29"/>
    <col collapsed="false" customWidth="true" hidden="false" outlineLevel="0" max="5634" min="5633" style="109" width="1.42"/>
    <col collapsed="false" customWidth="true" hidden="false" outlineLevel="0" max="5635" min="5635" style="109" width="21.71"/>
    <col collapsed="false" customWidth="true" hidden="false" outlineLevel="0" max="5636" min="5636" style="109" width="0.42"/>
    <col collapsed="false" customWidth="true" hidden="false" outlineLevel="0" max="5637" min="5637" style="109" width="12.15"/>
    <col collapsed="false" customWidth="true" hidden="false" outlineLevel="0" max="5638" min="5638" style="109" width="0.42"/>
    <col collapsed="false" customWidth="true" hidden="false" outlineLevel="0" max="5639" min="5639" style="109" width="12.15"/>
    <col collapsed="false" customWidth="true" hidden="false" outlineLevel="0" max="5640" min="5640" style="109" width="0.42"/>
    <col collapsed="false" customWidth="true" hidden="false" outlineLevel="0" max="5641" min="5641" style="109" width="12.15"/>
    <col collapsed="false" customWidth="true" hidden="false" outlineLevel="0" max="5642" min="5642" style="109" width="0.42"/>
    <col collapsed="false" customWidth="true" hidden="false" outlineLevel="0" max="5643" min="5643" style="109" width="12.15"/>
    <col collapsed="false" customWidth="true" hidden="false" outlineLevel="0" max="5644" min="5644" style="109" width="0.42"/>
    <col collapsed="false" customWidth="true" hidden="false" outlineLevel="0" max="5645" min="5645" style="109" width="12.15"/>
    <col collapsed="false" customWidth="false" hidden="false" outlineLevel="0" max="5646" min="5646" style="109" width="8.29"/>
    <col collapsed="false" customWidth="true" hidden="false" outlineLevel="0" max="5648" min="5647" style="109" width="9.57"/>
    <col collapsed="false" customWidth="false" hidden="false" outlineLevel="0" max="5888" min="5649" style="109" width="8.29"/>
    <col collapsed="false" customWidth="true" hidden="false" outlineLevel="0" max="5890" min="5889" style="109" width="1.42"/>
    <col collapsed="false" customWidth="true" hidden="false" outlineLevel="0" max="5891" min="5891" style="109" width="21.71"/>
    <col collapsed="false" customWidth="true" hidden="false" outlineLevel="0" max="5892" min="5892" style="109" width="0.42"/>
    <col collapsed="false" customWidth="true" hidden="false" outlineLevel="0" max="5893" min="5893" style="109" width="12.15"/>
    <col collapsed="false" customWidth="true" hidden="false" outlineLevel="0" max="5894" min="5894" style="109" width="0.42"/>
    <col collapsed="false" customWidth="true" hidden="false" outlineLevel="0" max="5895" min="5895" style="109" width="12.15"/>
    <col collapsed="false" customWidth="true" hidden="false" outlineLevel="0" max="5896" min="5896" style="109" width="0.42"/>
    <col collapsed="false" customWidth="true" hidden="false" outlineLevel="0" max="5897" min="5897" style="109" width="12.15"/>
    <col collapsed="false" customWidth="true" hidden="false" outlineLevel="0" max="5898" min="5898" style="109" width="0.42"/>
    <col collapsed="false" customWidth="true" hidden="false" outlineLevel="0" max="5899" min="5899" style="109" width="12.15"/>
    <col collapsed="false" customWidth="true" hidden="false" outlineLevel="0" max="5900" min="5900" style="109" width="0.42"/>
    <col collapsed="false" customWidth="true" hidden="false" outlineLevel="0" max="5901" min="5901" style="109" width="12.15"/>
    <col collapsed="false" customWidth="false" hidden="false" outlineLevel="0" max="5902" min="5902" style="109" width="8.29"/>
    <col collapsed="false" customWidth="true" hidden="false" outlineLevel="0" max="5904" min="5903" style="109" width="9.57"/>
    <col collapsed="false" customWidth="false" hidden="false" outlineLevel="0" max="6144" min="5905" style="109" width="8.29"/>
    <col collapsed="false" customWidth="true" hidden="false" outlineLevel="0" max="6146" min="6145" style="109" width="1.42"/>
    <col collapsed="false" customWidth="true" hidden="false" outlineLevel="0" max="6147" min="6147" style="109" width="21.71"/>
    <col collapsed="false" customWidth="true" hidden="false" outlineLevel="0" max="6148" min="6148" style="109" width="0.42"/>
    <col collapsed="false" customWidth="true" hidden="false" outlineLevel="0" max="6149" min="6149" style="109" width="12.15"/>
    <col collapsed="false" customWidth="true" hidden="false" outlineLevel="0" max="6150" min="6150" style="109" width="0.42"/>
    <col collapsed="false" customWidth="true" hidden="false" outlineLevel="0" max="6151" min="6151" style="109" width="12.15"/>
    <col collapsed="false" customWidth="true" hidden="false" outlineLevel="0" max="6152" min="6152" style="109" width="0.42"/>
    <col collapsed="false" customWidth="true" hidden="false" outlineLevel="0" max="6153" min="6153" style="109" width="12.15"/>
    <col collapsed="false" customWidth="true" hidden="false" outlineLevel="0" max="6154" min="6154" style="109" width="0.42"/>
    <col collapsed="false" customWidth="true" hidden="false" outlineLevel="0" max="6155" min="6155" style="109" width="12.15"/>
    <col collapsed="false" customWidth="true" hidden="false" outlineLevel="0" max="6156" min="6156" style="109" width="0.42"/>
    <col collapsed="false" customWidth="true" hidden="false" outlineLevel="0" max="6157" min="6157" style="109" width="12.15"/>
    <col collapsed="false" customWidth="false" hidden="false" outlineLevel="0" max="6158" min="6158" style="109" width="8.29"/>
    <col collapsed="false" customWidth="true" hidden="false" outlineLevel="0" max="6160" min="6159" style="109" width="9.57"/>
    <col collapsed="false" customWidth="false" hidden="false" outlineLevel="0" max="6400" min="6161" style="109" width="8.29"/>
    <col collapsed="false" customWidth="true" hidden="false" outlineLevel="0" max="6402" min="6401" style="109" width="1.42"/>
    <col collapsed="false" customWidth="true" hidden="false" outlineLevel="0" max="6403" min="6403" style="109" width="21.71"/>
    <col collapsed="false" customWidth="true" hidden="false" outlineLevel="0" max="6404" min="6404" style="109" width="0.42"/>
    <col collapsed="false" customWidth="true" hidden="false" outlineLevel="0" max="6405" min="6405" style="109" width="12.15"/>
    <col collapsed="false" customWidth="true" hidden="false" outlineLevel="0" max="6406" min="6406" style="109" width="0.42"/>
    <col collapsed="false" customWidth="true" hidden="false" outlineLevel="0" max="6407" min="6407" style="109" width="12.15"/>
    <col collapsed="false" customWidth="true" hidden="false" outlineLevel="0" max="6408" min="6408" style="109" width="0.42"/>
    <col collapsed="false" customWidth="true" hidden="false" outlineLevel="0" max="6409" min="6409" style="109" width="12.15"/>
    <col collapsed="false" customWidth="true" hidden="false" outlineLevel="0" max="6410" min="6410" style="109" width="0.42"/>
    <col collapsed="false" customWidth="true" hidden="false" outlineLevel="0" max="6411" min="6411" style="109" width="12.15"/>
    <col collapsed="false" customWidth="true" hidden="false" outlineLevel="0" max="6412" min="6412" style="109" width="0.42"/>
    <col collapsed="false" customWidth="true" hidden="false" outlineLevel="0" max="6413" min="6413" style="109" width="12.15"/>
    <col collapsed="false" customWidth="false" hidden="false" outlineLevel="0" max="6414" min="6414" style="109" width="8.29"/>
    <col collapsed="false" customWidth="true" hidden="false" outlineLevel="0" max="6416" min="6415" style="109" width="9.57"/>
    <col collapsed="false" customWidth="false" hidden="false" outlineLevel="0" max="6656" min="6417" style="109" width="8.29"/>
    <col collapsed="false" customWidth="true" hidden="false" outlineLevel="0" max="6658" min="6657" style="109" width="1.42"/>
    <col collapsed="false" customWidth="true" hidden="false" outlineLevel="0" max="6659" min="6659" style="109" width="21.71"/>
    <col collapsed="false" customWidth="true" hidden="false" outlineLevel="0" max="6660" min="6660" style="109" width="0.42"/>
    <col collapsed="false" customWidth="true" hidden="false" outlineLevel="0" max="6661" min="6661" style="109" width="12.15"/>
    <col collapsed="false" customWidth="true" hidden="false" outlineLevel="0" max="6662" min="6662" style="109" width="0.42"/>
    <col collapsed="false" customWidth="true" hidden="false" outlineLevel="0" max="6663" min="6663" style="109" width="12.15"/>
    <col collapsed="false" customWidth="true" hidden="false" outlineLevel="0" max="6664" min="6664" style="109" width="0.42"/>
    <col collapsed="false" customWidth="true" hidden="false" outlineLevel="0" max="6665" min="6665" style="109" width="12.15"/>
    <col collapsed="false" customWidth="true" hidden="false" outlineLevel="0" max="6666" min="6666" style="109" width="0.42"/>
    <col collapsed="false" customWidth="true" hidden="false" outlineLevel="0" max="6667" min="6667" style="109" width="12.15"/>
    <col collapsed="false" customWidth="true" hidden="false" outlineLevel="0" max="6668" min="6668" style="109" width="0.42"/>
    <col collapsed="false" customWidth="true" hidden="false" outlineLevel="0" max="6669" min="6669" style="109" width="12.15"/>
    <col collapsed="false" customWidth="false" hidden="false" outlineLevel="0" max="6670" min="6670" style="109" width="8.29"/>
    <col collapsed="false" customWidth="true" hidden="false" outlineLevel="0" max="6672" min="6671" style="109" width="9.57"/>
    <col collapsed="false" customWidth="false" hidden="false" outlineLevel="0" max="6912" min="6673" style="109" width="8.29"/>
    <col collapsed="false" customWidth="true" hidden="false" outlineLevel="0" max="6914" min="6913" style="109" width="1.42"/>
    <col collapsed="false" customWidth="true" hidden="false" outlineLevel="0" max="6915" min="6915" style="109" width="21.71"/>
    <col collapsed="false" customWidth="true" hidden="false" outlineLevel="0" max="6916" min="6916" style="109" width="0.42"/>
    <col collapsed="false" customWidth="true" hidden="false" outlineLevel="0" max="6917" min="6917" style="109" width="12.15"/>
    <col collapsed="false" customWidth="true" hidden="false" outlineLevel="0" max="6918" min="6918" style="109" width="0.42"/>
    <col collapsed="false" customWidth="true" hidden="false" outlineLevel="0" max="6919" min="6919" style="109" width="12.15"/>
    <col collapsed="false" customWidth="true" hidden="false" outlineLevel="0" max="6920" min="6920" style="109" width="0.42"/>
    <col collapsed="false" customWidth="true" hidden="false" outlineLevel="0" max="6921" min="6921" style="109" width="12.15"/>
    <col collapsed="false" customWidth="true" hidden="false" outlineLevel="0" max="6922" min="6922" style="109" width="0.42"/>
    <col collapsed="false" customWidth="true" hidden="false" outlineLevel="0" max="6923" min="6923" style="109" width="12.15"/>
    <col collapsed="false" customWidth="true" hidden="false" outlineLevel="0" max="6924" min="6924" style="109" width="0.42"/>
    <col collapsed="false" customWidth="true" hidden="false" outlineLevel="0" max="6925" min="6925" style="109" width="12.15"/>
    <col collapsed="false" customWidth="false" hidden="false" outlineLevel="0" max="6926" min="6926" style="109" width="8.29"/>
    <col collapsed="false" customWidth="true" hidden="false" outlineLevel="0" max="6928" min="6927" style="109" width="9.57"/>
    <col collapsed="false" customWidth="false" hidden="false" outlineLevel="0" max="7168" min="6929" style="109" width="8.29"/>
    <col collapsed="false" customWidth="true" hidden="false" outlineLevel="0" max="7170" min="7169" style="109" width="1.42"/>
    <col collapsed="false" customWidth="true" hidden="false" outlineLevel="0" max="7171" min="7171" style="109" width="21.71"/>
    <col collapsed="false" customWidth="true" hidden="false" outlineLevel="0" max="7172" min="7172" style="109" width="0.42"/>
    <col collapsed="false" customWidth="true" hidden="false" outlineLevel="0" max="7173" min="7173" style="109" width="12.15"/>
    <col collapsed="false" customWidth="true" hidden="false" outlineLevel="0" max="7174" min="7174" style="109" width="0.42"/>
    <col collapsed="false" customWidth="true" hidden="false" outlineLevel="0" max="7175" min="7175" style="109" width="12.15"/>
    <col collapsed="false" customWidth="true" hidden="false" outlineLevel="0" max="7176" min="7176" style="109" width="0.42"/>
    <col collapsed="false" customWidth="true" hidden="false" outlineLevel="0" max="7177" min="7177" style="109" width="12.15"/>
    <col collapsed="false" customWidth="true" hidden="false" outlineLevel="0" max="7178" min="7178" style="109" width="0.42"/>
    <col collapsed="false" customWidth="true" hidden="false" outlineLevel="0" max="7179" min="7179" style="109" width="12.15"/>
    <col collapsed="false" customWidth="true" hidden="false" outlineLevel="0" max="7180" min="7180" style="109" width="0.42"/>
    <col collapsed="false" customWidth="true" hidden="false" outlineLevel="0" max="7181" min="7181" style="109" width="12.15"/>
    <col collapsed="false" customWidth="false" hidden="false" outlineLevel="0" max="7182" min="7182" style="109" width="8.29"/>
    <col collapsed="false" customWidth="true" hidden="false" outlineLevel="0" max="7184" min="7183" style="109" width="9.57"/>
    <col collapsed="false" customWidth="false" hidden="false" outlineLevel="0" max="7424" min="7185" style="109" width="8.29"/>
    <col collapsed="false" customWidth="true" hidden="false" outlineLevel="0" max="7426" min="7425" style="109" width="1.42"/>
    <col collapsed="false" customWidth="true" hidden="false" outlineLevel="0" max="7427" min="7427" style="109" width="21.71"/>
    <col collapsed="false" customWidth="true" hidden="false" outlineLevel="0" max="7428" min="7428" style="109" width="0.42"/>
    <col collapsed="false" customWidth="true" hidden="false" outlineLevel="0" max="7429" min="7429" style="109" width="12.15"/>
    <col collapsed="false" customWidth="true" hidden="false" outlineLevel="0" max="7430" min="7430" style="109" width="0.42"/>
    <col collapsed="false" customWidth="true" hidden="false" outlineLevel="0" max="7431" min="7431" style="109" width="12.15"/>
    <col collapsed="false" customWidth="true" hidden="false" outlineLevel="0" max="7432" min="7432" style="109" width="0.42"/>
    <col collapsed="false" customWidth="true" hidden="false" outlineLevel="0" max="7433" min="7433" style="109" width="12.15"/>
    <col collapsed="false" customWidth="true" hidden="false" outlineLevel="0" max="7434" min="7434" style="109" width="0.42"/>
    <col collapsed="false" customWidth="true" hidden="false" outlineLevel="0" max="7435" min="7435" style="109" width="12.15"/>
    <col collapsed="false" customWidth="true" hidden="false" outlineLevel="0" max="7436" min="7436" style="109" width="0.42"/>
    <col collapsed="false" customWidth="true" hidden="false" outlineLevel="0" max="7437" min="7437" style="109" width="12.15"/>
    <col collapsed="false" customWidth="false" hidden="false" outlineLevel="0" max="7438" min="7438" style="109" width="8.29"/>
    <col collapsed="false" customWidth="true" hidden="false" outlineLevel="0" max="7440" min="7439" style="109" width="9.57"/>
    <col collapsed="false" customWidth="false" hidden="false" outlineLevel="0" max="7680" min="7441" style="109" width="8.29"/>
    <col collapsed="false" customWidth="true" hidden="false" outlineLevel="0" max="7682" min="7681" style="109" width="1.42"/>
    <col collapsed="false" customWidth="true" hidden="false" outlineLevel="0" max="7683" min="7683" style="109" width="21.71"/>
    <col collapsed="false" customWidth="true" hidden="false" outlineLevel="0" max="7684" min="7684" style="109" width="0.42"/>
    <col collapsed="false" customWidth="true" hidden="false" outlineLevel="0" max="7685" min="7685" style="109" width="12.15"/>
    <col collapsed="false" customWidth="true" hidden="false" outlineLevel="0" max="7686" min="7686" style="109" width="0.42"/>
    <col collapsed="false" customWidth="true" hidden="false" outlineLevel="0" max="7687" min="7687" style="109" width="12.15"/>
    <col collapsed="false" customWidth="true" hidden="false" outlineLevel="0" max="7688" min="7688" style="109" width="0.42"/>
    <col collapsed="false" customWidth="true" hidden="false" outlineLevel="0" max="7689" min="7689" style="109" width="12.15"/>
    <col collapsed="false" customWidth="true" hidden="false" outlineLevel="0" max="7690" min="7690" style="109" width="0.42"/>
    <col collapsed="false" customWidth="true" hidden="false" outlineLevel="0" max="7691" min="7691" style="109" width="12.15"/>
    <col collapsed="false" customWidth="true" hidden="false" outlineLevel="0" max="7692" min="7692" style="109" width="0.42"/>
    <col collapsed="false" customWidth="true" hidden="false" outlineLevel="0" max="7693" min="7693" style="109" width="12.15"/>
    <col collapsed="false" customWidth="false" hidden="false" outlineLevel="0" max="7694" min="7694" style="109" width="8.29"/>
    <col collapsed="false" customWidth="true" hidden="false" outlineLevel="0" max="7696" min="7695" style="109" width="9.57"/>
    <col collapsed="false" customWidth="false" hidden="false" outlineLevel="0" max="7936" min="7697" style="109" width="8.29"/>
    <col collapsed="false" customWidth="true" hidden="false" outlineLevel="0" max="7938" min="7937" style="109" width="1.42"/>
    <col collapsed="false" customWidth="true" hidden="false" outlineLevel="0" max="7939" min="7939" style="109" width="21.71"/>
    <col collapsed="false" customWidth="true" hidden="false" outlineLevel="0" max="7940" min="7940" style="109" width="0.42"/>
    <col collapsed="false" customWidth="true" hidden="false" outlineLevel="0" max="7941" min="7941" style="109" width="12.15"/>
    <col collapsed="false" customWidth="true" hidden="false" outlineLevel="0" max="7942" min="7942" style="109" width="0.42"/>
    <col collapsed="false" customWidth="true" hidden="false" outlineLevel="0" max="7943" min="7943" style="109" width="12.15"/>
    <col collapsed="false" customWidth="true" hidden="false" outlineLevel="0" max="7944" min="7944" style="109" width="0.42"/>
    <col collapsed="false" customWidth="true" hidden="false" outlineLevel="0" max="7945" min="7945" style="109" width="12.15"/>
    <col collapsed="false" customWidth="true" hidden="false" outlineLevel="0" max="7946" min="7946" style="109" width="0.42"/>
    <col collapsed="false" customWidth="true" hidden="false" outlineLevel="0" max="7947" min="7947" style="109" width="12.15"/>
    <col collapsed="false" customWidth="true" hidden="false" outlineLevel="0" max="7948" min="7948" style="109" width="0.42"/>
    <col collapsed="false" customWidth="true" hidden="false" outlineLevel="0" max="7949" min="7949" style="109" width="12.15"/>
    <col collapsed="false" customWidth="false" hidden="false" outlineLevel="0" max="7950" min="7950" style="109" width="8.29"/>
    <col collapsed="false" customWidth="true" hidden="false" outlineLevel="0" max="7952" min="7951" style="109" width="9.57"/>
    <col collapsed="false" customWidth="false" hidden="false" outlineLevel="0" max="8192" min="7953" style="109" width="8.29"/>
    <col collapsed="false" customWidth="true" hidden="false" outlineLevel="0" max="8194" min="8193" style="109" width="1.42"/>
    <col collapsed="false" customWidth="true" hidden="false" outlineLevel="0" max="8195" min="8195" style="109" width="21.71"/>
    <col collapsed="false" customWidth="true" hidden="false" outlineLevel="0" max="8196" min="8196" style="109" width="0.42"/>
    <col collapsed="false" customWidth="true" hidden="false" outlineLevel="0" max="8197" min="8197" style="109" width="12.15"/>
    <col collapsed="false" customWidth="true" hidden="false" outlineLevel="0" max="8198" min="8198" style="109" width="0.42"/>
    <col collapsed="false" customWidth="true" hidden="false" outlineLevel="0" max="8199" min="8199" style="109" width="12.15"/>
    <col collapsed="false" customWidth="true" hidden="false" outlineLevel="0" max="8200" min="8200" style="109" width="0.42"/>
    <col collapsed="false" customWidth="true" hidden="false" outlineLevel="0" max="8201" min="8201" style="109" width="12.15"/>
    <col collapsed="false" customWidth="true" hidden="false" outlineLevel="0" max="8202" min="8202" style="109" width="0.42"/>
    <col collapsed="false" customWidth="true" hidden="false" outlineLevel="0" max="8203" min="8203" style="109" width="12.15"/>
    <col collapsed="false" customWidth="true" hidden="false" outlineLevel="0" max="8204" min="8204" style="109" width="0.42"/>
    <col collapsed="false" customWidth="true" hidden="false" outlineLevel="0" max="8205" min="8205" style="109" width="12.15"/>
    <col collapsed="false" customWidth="false" hidden="false" outlineLevel="0" max="8206" min="8206" style="109" width="8.29"/>
    <col collapsed="false" customWidth="true" hidden="false" outlineLevel="0" max="8208" min="8207" style="109" width="9.57"/>
    <col collapsed="false" customWidth="false" hidden="false" outlineLevel="0" max="8448" min="8209" style="109" width="8.29"/>
    <col collapsed="false" customWidth="true" hidden="false" outlineLevel="0" max="8450" min="8449" style="109" width="1.42"/>
    <col collapsed="false" customWidth="true" hidden="false" outlineLevel="0" max="8451" min="8451" style="109" width="21.71"/>
    <col collapsed="false" customWidth="true" hidden="false" outlineLevel="0" max="8452" min="8452" style="109" width="0.42"/>
    <col collapsed="false" customWidth="true" hidden="false" outlineLevel="0" max="8453" min="8453" style="109" width="12.15"/>
    <col collapsed="false" customWidth="true" hidden="false" outlineLevel="0" max="8454" min="8454" style="109" width="0.42"/>
    <col collapsed="false" customWidth="true" hidden="false" outlineLevel="0" max="8455" min="8455" style="109" width="12.15"/>
    <col collapsed="false" customWidth="true" hidden="false" outlineLevel="0" max="8456" min="8456" style="109" width="0.42"/>
    <col collapsed="false" customWidth="true" hidden="false" outlineLevel="0" max="8457" min="8457" style="109" width="12.15"/>
    <col collapsed="false" customWidth="true" hidden="false" outlineLevel="0" max="8458" min="8458" style="109" width="0.42"/>
    <col collapsed="false" customWidth="true" hidden="false" outlineLevel="0" max="8459" min="8459" style="109" width="12.15"/>
    <col collapsed="false" customWidth="true" hidden="false" outlineLevel="0" max="8460" min="8460" style="109" width="0.42"/>
    <col collapsed="false" customWidth="true" hidden="false" outlineLevel="0" max="8461" min="8461" style="109" width="12.15"/>
    <col collapsed="false" customWidth="false" hidden="false" outlineLevel="0" max="8462" min="8462" style="109" width="8.29"/>
    <col collapsed="false" customWidth="true" hidden="false" outlineLevel="0" max="8464" min="8463" style="109" width="9.57"/>
    <col collapsed="false" customWidth="false" hidden="false" outlineLevel="0" max="8704" min="8465" style="109" width="8.29"/>
    <col collapsed="false" customWidth="true" hidden="false" outlineLevel="0" max="8706" min="8705" style="109" width="1.42"/>
    <col collapsed="false" customWidth="true" hidden="false" outlineLevel="0" max="8707" min="8707" style="109" width="21.71"/>
    <col collapsed="false" customWidth="true" hidden="false" outlineLevel="0" max="8708" min="8708" style="109" width="0.42"/>
    <col collapsed="false" customWidth="true" hidden="false" outlineLevel="0" max="8709" min="8709" style="109" width="12.15"/>
    <col collapsed="false" customWidth="true" hidden="false" outlineLevel="0" max="8710" min="8710" style="109" width="0.42"/>
    <col collapsed="false" customWidth="true" hidden="false" outlineLevel="0" max="8711" min="8711" style="109" width="12.15"/>
    <col collapsed="false" customWidth="true" hidden="false" outlineLevel="0" max="8712" min="8712" style="109" width="0.42"/>
    <col collapsed="false" customWidth="true" hidden="false" outlineLevel="0" max="8713" min="8713" style="109" width="12.15"/>
    <col collapsed="false" customWidth="true" hidden="false" outlineLevel="0" max="8714" min="8714" style="109" width="0.42"/>
    <col collapsed="false" customWidth="true" hidden="false" outlineLevel="0" max="8715" min="8715" style="109" width="12.15"/>
    <col collapsed="false" customWidth="true" hidden="false" outlineLevel="0" max="8716" min="8716" style="109" width="0.42"/>
    <col collapsed="false" customWidth="true" hidden="false" outlineLevel="0" max="8717" min="8717" style="109" width="12.15"/>
    <col collapsed="false" customWidth="false" hidden="false" outlineLevel="0" max="8718" min="8718" style="109" width="8.29"/>
    <col collapsed="false" customWidth="true" hidden="false" outlineLevel="0" max="8720" min="8719" style="109" width="9.57"/>
    <col collapsed="false" customWidth="false" hidden="false" outlineLevel="0" max="8960" min="8721" style="109" width="8.29"/>
    <col collapsed="false" customWidth="true" hidden="false" outlineLevel="0" max="8962" min="8961" style="109" width="1.42"/>
    <col collapsed="false" customWidth="true" hidden="false" outlineLevel="0" max="8963" min="8963" style="109" width="21.71"/>
    <col collapsed="false" customWidth="true" hidden="false" outlineLevel="0" max="8964" min="8964" style="109" width="0.42"/>
    <col collapsed="false" customWidth="true" hidden="false" outlineLevel="0" max="8965" min="8965" style="109" width="12.15"/>
    <col collapsed="false" customWidth="true" hidden="false" outlineLevel="0" max="8966" min="8966" style="109" width="0.42"/>
    <col collapsed="false" customWidth="true" hidden="false" outlineLevel="0" max="8967" min="8967" style="109" width="12.15"/>
    <col collapsed="false" customWidth="true" hidden="false" outlineLevel="0" max="8968" min="8968" style="109" width="0.42"/>
    <col collapsed="false" customWidth="true" hidden="false" outlineLevel="0" max="8969" min="8969" style="109" width="12.15"/>
    <col collapsed="false" customWidth="true" hidden="false" outlineLevel="0" max="8970" min="8970" style="109" width="0.42"/>
    <col collapsed="false" customWidth="true" hidden="false" outlineLevel="0" max="8971" min="8971" style="109" width="12.15"/>
    <col collapsed="false" customWidth="true" hidden="false" outlineLevel="0" max="8972" min="8972" style="109" width="0.42"/>
    <col collapsed="false" customWidth="true" hidden="false" outlineLevel="0" max="8973" min="8973" style="109" width="12.15"/>
    <col collapsed="false" customWidth="false" hidden="false" outlineLevel="0" max="8974" min="8974" style="109" width="8.29"/>
    <col collapsed="false" customWidth="true" hidden="false" outlineLevel="0" max="8976" min="8975" style="109" width="9.57"/>
    <col collapsed="false" customWidth="false" hidden="false" outlineLevel="0" max="9216" min="8977" style="109" width="8.29"/>
    <col collapsed="false" customWidth="true" hidden="false" outlineLevel="0" max="9218" min="9217" style="109" width="1.42"/>
    <col collapsed="false" customWidth="true" hidden="false" outlineLevel="0" max="9219" min="9219" style="109" width="21.71"/>
    <col collapsed="false" customWidth="true" hidden="false" outlineLevel="0" max="9220" min="9220" style="109" width="0.42"/>
    <col collapsed="false" customWidth="true" hidden="false" outlineLevel="0" max="9221" min="9221" style="109" width="12.15"/>
    <col collapsed="false" customWidth="true" hidden="false" outlineLevel="0" max="9222" min="9222" style="109" width="0.42"/>
    <col collapsed="false" customWidth="true" hidden="false" outlineLevel="0" max="9223" min="9223" style="109" width="12.15"/>
    <col collapsed="false" customWidth="true" hidden="false" outlineLevel="0" max="9224" min="9224" style="109" width="0.42"/>
    <col collapsed="false" customWidth="true" hidden="false" outlineLevel="0" max="9225" min="9225" style="109" width="12.15"/>
    <col collapsed="false" customWidth="true" hidden="false" outlineLevel="0" max="9226" min="9226" style="109" width="0.42"/>
    <col collapsed="false" customWidth="true" hidden="false" outlineLevel="0" max="9227" min="9227" style="109" width="12.15"/>
    <col collapsed="false" customWidth="true" hidden="false" outlineLevel="0" max="9228" min="9228" style="109" width="0.42"/>
    <col collapsed="false" customWidth="true" hidden="false" outlineLevel="0" max="9229" min="9229" style="109" width="12.15"/>
    <col collapsed="false" customWidth="false" hidden="false" outlineLevel="0" max="9230" min="9230" style="109" width="8.29"/>
    <col collapsed="false" customWidth="true" hidden="false" outlineLevel="0" max="9232" min="9231" style="109" width="9.57"/>
    <col collapsed="false" customWidth="false" hidden="false" outlineLevel="0" max="9472" min="9233" style="109" width="8.29"/>
    <col collapsed="false" customWidth="true" hidden="false" outlineLevel="0" max="9474" min="9473" style="109" width="1.42"/>
    <col collapsed="false" customWidth="true" hidden="false" outlineLevel="0" max="9475" min="9475" style="109" width="21.71"/>
    <col collapsed="false" customWidth="true" hidden="false" outlineLevel="0" max="9476" min="9476" style="109" width="0.42"/>
    <col collapsed="false" customWidth="true" hidden="false" outlineLevel="0" max="9477" min="9477" style="109" width="12.15"/>
    <col collapsed="false" customWidth="true" hidden="false" outlineLevel="0" max="9478" min="9478" style="109" width="0.42"/>
    <col collapsed="false" customWidth="true" hidden="false" outlineLevel="0" max="9479" min="9479" style="109" width="12.15"/>
    <col collapsed="false" customWidth="true" hidden="false" outlineLevel="0" max="9480" min="9480" style="109" width="0.42"/>
    <col collapsed="false" customWidth="true" hidden="false" outlineLevel="0" max="9481" min="9481" style="109" width="12.15"/>
    <col collapsed="false" customWidth="true" hidden="false" outlineLevel="0" max="9482" min="9482" style="109" width="0.42"/>
    <col collapsed="false" customWidth="true" hidden="false" outlineLevel="0" max="9483" min="9483" style="109" width="12.15"/>
    <col collapsed="false" customWidth="true" hidden="false" outlineLevel="0" max="9484" min="9484" style="109" width="0.42"/>
    <col collapsed="false" customWidth="true" hidden="false" outlineLevel="0" max="9485" min="9485" style="109" width="12.15"/>
    <col collapsed="false" customWidth="false" hidden="false" outlineLevel="0" max="9486" min="9486" style="109" width="8.29"/>
    <col collapsed="false" customWidth="true" hidden="false" outlineLevel="0" max="9488" min="9487" style="109" width="9.57"/>
    <col collapsed="false" customWidth="false" hidden="false" outlineLevel="0" max="9728" min="9489" style="109" width="8.29"/>
    <col collapsed="false" customWidth="true" hidden="false" outlineLevel="0" max="9730" min="9729" style="109" width="1.42"/>
    <col collapsed="false" customWidth="true" hidden="false" outlineLevel="0" max="9731" min="9731" style="109" width="21.71"/>
    <col collapsed="false" customWidth="true" hidden="false" outlineLevel="0" max="9732" min="9732" style="109" width="0.42"/>
    <col collapsed="false" customWidth="true" hidden="false" outlineLevel="0" max="9733" min="9733" style="109" width="12.15"/>
    <col collapsed="false" customWidth="true" hidden="false" outlineLevel="0" max="9734" min="9734" style="109" width="0.42"/>
    <col collapsed="false" customWidth="true" hidden="false" outlineLevel="0" max="9735" min="9735" style="109" width="12.15"/>
    <col collapsed="false" customWidth="true" hidden="false" outlineLevel="0" max="9736" min="9736" style="109" width="0.42"/>
    <col collapsed="false" customWidth="true" hidden="false" outlineLevel="0" max="9737" min="9737" style="109" width="12.15"/>
    <col collapsed="false" customWidth="true" hidden="false" outlineLevel="0" max="9738" min="9738" style="109" width="0.42"/>
    <col collapsed="false" customWidth="true" hidden="false" outlineLevel="0" max="9739" min="9739" style="109" width="12.15"/>
    <col collapsed="false" customWidth="true" hidden="false" outlineLevel="0" max="9740" min="9740" style="109" width="0.42"/>
    <col collapsed="false" customWidth="true" hidden="false" outlineLevel="0" max="9741" min="9741" style="109" width="12.15"/>
    <col collapsed="false" customWidth="false" hidden="false" outlineLevel="0" max="9742" min="9742" style="109" width="8.29"/>
    <col collapsed="false" customWidth="true" hidden="false" outlineLevel="0" max="9744" min="9743" style="109" width="9.57"/>
    <col collapsed="false" customWidth="false" hidden="false" outlineLevel="0" max="9984" min="9745" style="109" width="8.29"/>
    <col collapsed="false" customWidth="true" hidden="false" outlineLevel="0" max="9986" min="9985" style="109" width="1.42"/>
    <col collapsed="false" customWidth="true" hidden="false" outlineLevel="0" max="9987" min="9987" style="109" width="21.71"/>
    <col collapsed="false" customWidth="true" hidden="false" outlineLevel="0" max="9988" min="9988" style="109" width="0.42"/>
    <col collapsed="false" customWidth="true" hidden="false" outlineLevel="0" max="9989" min="9989" style="109" width="12.15"/>
    <col collapsed="false" customWidth="true" hidden="false" outlineLevel="0" max="9990" min="9990" style="109" width="0.42"/>
    <col collapsed="false" customWidth="true" hidden="false" outlineLevel="0" max="9991" min="9991" style="109" width="12.15"/>
    <col collapsed="false" customWidth="true" hidden="false" outlineLevel="0" max="9992" min="9992" style="109" width="0.42"/>
    <col collapsed="false" customWidth="true" hidden="false" outlineLevel="0" max="9993" min="9993" style="109" width="12.15"/>
    <col collapsed="false" customWidth="true" hidden="false" outlineLevel="0" max="9994" min="9994" style="109" width="0.42"/>
    <col collapsed="false" customWidth="true" hidden="false" outlineLevel="0" max="9995" min="9995" style="109" width="12.15"/>
    <col collapsed="false" customWidth="true" hidden="false" outlineLevel="0" max="9996" min="9996" style="109" width="0.42"/>
    <col collapsed="false" customWidth="true" hidden="false" outlineLevel="0" max="9997" min="9997" style="109" width="12.15"/>
    <col collapsed="false" customWidth="false" hidden="false" outlineLevel="0" max="9998" min="9998" style="109" width="8.29"/>
    <col collapsed="false" customWidth="true" hidden="false" outlineLevel="0" max="10000" min="9999" style="109" width="9.57"/>
    <col collapsed="false" customWidth="false" hidden="false" outlineLevel="0" max="10240" min="10001" style="109" width="8.29"/>
    <col collapsed="false" customWidth="true" hidden="false" outlineLevel="0" max="10242" min="10241" style="109" width="1.42"/>
    <col collapsed="false" customWidth="true" hidden="false" outlineLevel="0" max="10243" min="10243" style="109" width="21.71"/>
    <col collapsed="false" customWidth="true" hidden="false" outlineLevel="0" max="10244" min="10244" style="109" width="0.42"/>
    <col collapsed="false" customWidth="true" hidden="false" outlineLevel="0" max="10245" min="10245" style="109" width="12.15"/>
    <col collapsed="false" customWidth="true" hidden="false" outlineLevel="0" max="10246" min="10246" style="109" width="0.42"/>
    <col collapsed="false" customWidth="true" hidden="false" outlineLevel="0" max="10247" min="10247" style="109" width="12.15"/>
    <col collapsed="false" customWidth="true" hidden="false" outlineLevel="0" max="10248" min="10248" style="109" width="0.42"/>
    <col collapsed="false" customWidth="true" hidden="false" outlineLevel="0" max="10249" min="10249" style="109" width="12.15"/>
    <col collapsed="false" customWidth="true" hidden="false" outlineLevel="0" max="10250" min="10250" style="109" width="0.42"/>
    <col collapsed="false" customWidth="true" hidden="false" outlineLevel="0" max="10251" min="10251" style="109" width="12.15"/>
    <col collapsed="false" customWidth="true" hidden="false" outlineLevel="0" max="10252" min="10252" style="109" width="0.42"/>
    <col collapsed="false" customWidth="true" hidden="false" outlineLevel="0" max="10253" min="10253" style="109" width="12.15"/>
    <col collapsed="false" customWidth="false" hidden="false" outlineLevel="0" max="10254" min="10254" style="109" width="8.29"/>
    <col collapsed="false" customWidth="true" hidden="false" outlineLevel="0" max="10256" min="10255" style="109" width="9.57"/>
    <col collapsed="false" customWidth="false" hidden="false" outlineLevel="0" max="10496" min="10257" style="109" width="8.29"/>
    <col collapsed="false" customWidth="true" hidden="false" outlineLevel="0" max="10498" min="10497" style="109" width="1.42"/>
    <col collapsed="false" customWidth="true" hidden="false" outlineLevel="0" max="10499" min="10499" style="109" width="21.71"/>
    <col collapsed="false" customWidth="true" hidden="false" outlineLevel="0" max="10500" min="10500" style="109" width="0.42"/>
    <col collapsed="false" customWidth="true" hidden="false" outlineLevel="0" max="10501" min="10501" style="109" width="12.15"/>
    <col collapsed="false" customWidth="true" hidden="false" outlineLevel="0" max="10502" min="10502" style="109" width="0.42"/>
    <col collapsed="false" customWidth="true" hidden="false" outlineLevel="0" max="10503" min="10503" style="109" width="12.15"/>
    <col collapsed="false" customWidth="true" hidden="false" outlineLevel="0" max="10504" min="10504" style="109" width="0.42"/>
    <col collapsed="false" customWidth="true" hidden="false" outlineLevel="0" max="10505" min="10505" style="109" width="12.15"/>
    <col collapsed="false" customWidth="true" hidden="false" outlineLevel="0" max="10506" min="10506" style="109" width="0.42"/>
    <col collapsed="false" customWidth="true" hidden="false" outlineLevel="0" max="10507" min="10507" style="109" width="12.15"/>
    <col collapsed="false" customWidth="true" hidden="false" outlineLevel="0" max="10508" min="10508" style="109" width="0.42"/>
    <col collapsed="false" customWidth="true" hidden="false" outlineLevel="0" max="10509" min="10509" style="109" width="12.15"/>
    <col collapsed="false" customWidth="false" hidden="false" outlineLevel="0" max="10510" min="10510" style="109" width="8.29"/>
    <col collapsed="false" customWidth="true" hidden="false" outlineLevel="0" max="10512" min="10511" style="109" width="9.57"/>
    <col collapsed="false" customWidth="false" hidden="false" outlineLevel="0" max="10752" min="10513" style="109" width="8.29"/>
    <col collapsed="false" customWidth="true" hidden="false" outlineLevel="0" max="10754" min="10753" style="109" width="1.42"/>
    <col collapsed="false" customWidth="true" hidden="false" outlineLevel="0" max="10755" min="10755" style="109" width="21.71"/>
    <col collapsed="false" customWidth="true" hidden="false" outlineLevel="0" max="10756" min="10756" style="109" width="0.42"/>
    <col collapsed="false" customWidth="true" hidden="false" outlineLevel="0" max="10757" min="10757" style="109" width="12.15"/>
    <col collapsed="false" customWidth="true" hidden="false" outlineLevel="0" max="10758" min="10758" style="109" width="0.42"/>
    <col collapsed="false" customWidth="true" hidden="false" outlineLevel="0" max="10759" min="10759" style="109" width="12.15"/>
    <col collapsed="false" customWidth="true" hidden="false" outlineLevel="0" max="10760" min="10760" style="109" width="0.42"/>
    <col collapsed="false" customWidth="true" hidden="false" outlineLevel="0" max="10761" min="10761" style="109" width="12.15"/>
    <col collapsed="false" customWidth="true" hidden="false" outlineLevel="0" max="10762" min="10762" style="109" width="0.42"/>
    <col collapsed="false" customWidth="true" hidden="false" outlineLevel="0" max="10763" min="10763" style="109" width="12.15"/>
    <col collapsed="false" customWidth="true" hidden="false" outlineLevel="0" max="10764" min="10764" style="109" width="0.42"/>
    <col collapsed="false" customWidth="true" hidden="false" outlineLevel="0" max="10765" min="10765" style="109" width="12.15"/>
    <col collapsed="false" customWidth="false" hidden="false" outlineLevel="0" max="10766" min="10766" style="109" width="8.29"/>
    <col collapsed="false" customWidth="true" hidden="false" outlineLevel="0" max="10768" min="10767" style="109" width="9.57"/>
    <col collapsed="false" customWidth="false" hidden="false" outlineLevel="0" max="11008" min="10769" style="109" width="8.29"/>
    <col collapsed="false" customWidth="true" hidden="false" outlineLevel="0" max="11010" min="11009" style="109" width="1.42"/>
    <col collapsed="false" customWidth="true" hidden="false" outlineLevel="0" max="11011" min="11011" style="109" width="21.71"/>
    <col collapsed="false" customWidth="true" hidden="false" outlineLevel="0" max="11012" min="11012" style="109" width="0.42"/>
    <col collapsed="false" customWidth="true" hidden="false" outlineLevel="0" max="11013" min="11013" style="109" width="12.15"/>
    <col collapsed="false" customWidth="true" hidden="false" outlineLevel="0" max="11014" min="11014" style="109" width="0.42"/>
    <col collapsed="false" customWidth="true" hidden="false" outlineLevel="0" max="11015" min="11015" style="109" width="12.15"/>
    <col collapsed="false" customWidth="true" hidden="false" outlineLevel="0" max="11016" min="11016" style="109" width="0.42"/>
    <col collapsed="false" customWidth="true" hidden="false" outlineLevel="0" max="11017" min="11017" style="109" width="12.15"/>
    <col collapsed="false" customWidth="true" hidden="false" outlineLevel="0" max="11018" min="11018" style="109" width="0.42"/>
    <col collapsed="false" customWidth="true" hidden="false" outlineLevel="0" max="11019" min="11019" style="109" width="12.15"/>
    <col collapsed="false" customWidth="true" hidden="false" outlineLevel="0" max="11020" min="11020" style="109" width="0.42"/>
    <col collapsed="false" customWidth="true" hidden="false" outlineLevel="0" max="11021" min="11021" style="109" width="12.15"/>
    <col collapsed="false" customWidth="false" hidden="false" outlineLevel="0" max="11022" min="11022" style="109" width="8.29"/>
    <col collapsed="false" customWidth="true" hidden="false" outlineLevel="0" max="11024" min="11023" style="109" width="9.57"/>
    <col collapsed="false" customWidth="false" hidden="false" outlineLevel="0" max="11264" min="11025" style="109" width="8.29"/>
    <col collapsed="false" customWidth="true" hidden="false" outlineLevel="0" max="11266" min="11265" style="109" width="1.42"/>
    <col collapsed="false" customWidth="true" hidden="false" outlineLevel="0" max="11267" min="11267" style="109" width="21.71"/>
    <col collapsed="false" customWidth="true" hidden="false" outlineLevel="0" max="11268" min="11268" style="109" width="0.42"/>
    <col collapsed="false" customWidth="true" hidden="false" outlineLevel="0" max="11269" min="11269" style="109" width="12.15"/>
    <col collapsed="false" customWidth="true" hidden="false" outlineLevel="0" max="11270" min="11270" style="109" width="0.42"/>
    <col collapsed="false" customWidth="true" hidden="false" outlineLevel="0" max="11271" min="11271" style="109" width="12.15"/>
    <col collapsed="false" customWidth="true" hidden="false" outlineLevel="0" max="11272" min="11272" style="109" width="0.42"/>
    <col collapsed="false" customWidth="true" hidden="false" outlineLevel="0" max="11273" min="11273" style="109" width="12.15"/>
    <col collapsed="false" customWidth="true" hidden="false" outlineLevel="0" max="11274" min="11274" style="109" width="0.42"/>
    <col collapsed="false" customWidth="true" hidden="false" outlineLevel="0" max="11275" min="11275" style="109" width="12.15"/>
    <col collapsed="false" customWidth="true" hidden="false" outlineLevel="0" max="11276" min="11276" style="109" width="0.42"/>
    <col collapsed="false" customWidth="true" hidden="false" outlineLevel="0" max="11277" min="11277" style="109" width="12.15"/>
    <col collapsed="false" customWidth="false" hidden="false" outlineLevel="0" max="11278" min="11278" style="109" width="8.29"/>
    <col collapsed="false" customWidth="true" hidden="false" outlineLevel="0" max="11280" min="11279" style="109" width="9.57"/>
    <col collapsed="false" customWidth="false" hidden="false" outlineLevel="0" max="11520" min="11281" style="109" width="8.29"/>
    <col collapsed="false" customWidth="true" hidden="false" outlineLevel="0" max="11522" min="11521" style="109" width="1.42"/>
    <col collapsed="false" customWidth="true" hidden="false" outlineLevel="0" max="11523" min="11523" style="109" width="21.71"/>
    <col collapsed="false" customWidth="true" hidden="false" outlineLevel="0" max="11524" min="11524" style="109" width="0.42"/>
    <col collapsed="false" customWidth="true" hidden="false" outlineLevel="0" max="11525" min="11525" style="109" width="12.15"/>
    <col collapsed="false" customWidth="true" hidden="false" outlineLevel="0" max="11526" min="11526" style="109" width="0.42"/>
    <col collapsed="false" customWidth="true" hidden="false" outlineLevel="0" max="11527" min="11527" style="109" width="12.15"/>
    <col collapsed="false" customWidth="true" hidden="false" outlineLevel="0" max="11528" min="11528" style="109" width="0.42"/>
    <col collapsed="false" customWidth="true" hidden="false" outlineLevel="0" max="11529" min="11529" style="109" width="12.15"/>
    <col collapsed="false" customWidth="true" hidden="false" outlineLevel="0" max="11530" min="11530" style="109" width="0.42"/>
    <col collapsed="false" customWidth="true" hidden="false" outlineLevel="0" max="11531" min="11531" style="109" width="12.15"/>
    <col collapsed="false" customWidth="true" hidden="false" outlineLevel="0" max="11532" min="11532" style="109" width="0.42"/>
    <col collapsed="false" customWidth="true" hidden="false" outlineLevel="0" max="11533" min="11533" style="109" width="12.15"/>
    <col collapsed="false" customWidth="false" hidden="false" outlineLevel="0" max="11534" min="11534" style="109" width="8.29"/>
    <col collapsed="false" customWidth="true" hidden="false" outlineLevel="0" max="11536" min="11535" style="109" width="9.57"/>
    <col collapsed="false" customWidth="false" hidden="false" outlineLevel="0" max="11776" min="11537" style="109" width="8.29"/>
    <col collapsed="false" customWidth="true" hidden="false" outlineLevel="0" max="11778" min="11777" style="109" width="1.42"/>
    <col collapsed="false" customWidth="true" hidden="false" outlineLevel="0" max="11779" min="11779" style="109" width="21.71"/>
    <col collapsed="false" customWidth="true" hidden="false" outlineLevel="0" max="11780" min="11780" style="109" width="0.42"/>
    <col collapsed="false" customWidth="true" hidden="false" outlineLevel="0" max="11781" min="11781" style="109" width="12.15"/>
    <col collapsed="false" customWidth="true" hidden="false" outlineLevel="0" max="11782" min="11782" style="109" width="0.42"/>
    <col collapsed="false" customWidth="true" hidden="false" outlineLevel="0" max="11783" min="11783" style="109" width="12.15"/>
    <col collapsed="false" customWidth="true" hidden="false" outlineLevel="0" max="11784" min="11784" style="109" width="0.42"/>
    <col collapsed="false" customWidth="true" hidden="false" outlineLevel="0" max="11785" min="11785" style="109" width="12.15"/>
    <col collapsed="false" customWidth="true" hidden="false" outlineLevel="0" max="11786" min="11786" style="109" width="0.42"/>
    <col collapsed="false" customWidth="true" hidden="false" outlineLevel="0" max="11787" min="11787" style="109" width="12.15"/>
    <col collapsed="false" customWidth="true" hidden="false" outlineLevel="0" max="11788" min="11788" style="109" width="0.42"/>
    <col collapsed="false" customWidth="true" hidden="false" outlineLevel="0" max="11789" min="11789" style="109" width="12.15"/>
    <col collapsed="false" customWidth="false" hidden="false" outlineLevel="0" max="11790" min="11790" style="109" width="8.29"/>
    <col collapsed="false" customWidth="true" hidden="false" outlineLevel="0" max="11792" min="11791" style="109" width="9.57"/>
    <col collapsed="false" customWidth="false" hidden="false" outlineLevel="0" max="12032" min="11793" style="109" width="8.29"/>
    <col collapsed="false" customWidth="true" hidden="false" outlineLevel="0" max="12034" min="12033" style="109" width="1.42"/>
    <col collapsed="false" customWidth="true" hidden="false" outlineLevel="0" max="12035" min="12035" style="109" width="21.71"/>
    <col collapsed="false" customWidth="true" hidden="false" outlineLevel="0" max="12036" min="12036" style="109" width="0.42"/>
    <col collapsed="false" customWidth="true" hidden="false" outlineLevel="0" max="12037" min="12037" style="109" width="12.15"/>
    <col collapsed="false" customWidth="true" hidden="false" outlineLevel="0" max="12038" min="12038" style="109" width="0.42"/>
    <col collapsed="false" customWidth="true" hidden="false" outlineLevel="0" max="12039" min="12039" style="109" width="12.15"/>
    <col collapsed="false" customWidth="true" hidden="false" outlineLevel="0" max="12040" min="12040" style="109" width="0.42"/>
    <col collapsed="false" customWidth="true" hidden="false" outlineLevel="0" max="12041" min="12041" style="109" width="12.15"/>
    <col collapsed="false" customWidth="true" hidden="false" outlineLevel="0" max="12042" min="12042" style="109" width="0.42"/>
    <col collapsed="false" customWidth="true" hidden="false" outlineLevel="0" max="12043" min="12043" style="109" width="12.15"/>
    <col collapsed="false" customWidth="true" hidden="false" outlineLevel="0" max="12044" min="12044" style="109" width="0.42"/>
    <col collapsed="false" customWidth="true" hidden="false" outlineLevel="0" max="12045" min="12045" style="109" width="12.15"/>
    <col collapsed="false" customWidth="false" hidden="false" outlineLevel="0" max="12046" min="12046" style="109" width="8.29"/>
    <col collapsed="false" customWidth="true" hidden="false" outlineLevel="0" max="12048" min="12047" style="109" width="9.57"/>
    <col collapsed="false" customWidth="false" hidden="false" outlineLevel="0" max="12288" min="12049" style="109" width="8.29"/>
    <col collapsed="false" customWidth="true" hidden="false" outlineLevel="0" max="12290" min="12289" style="109" width="1.42"/>
    <col collapsed="false" customWidth="true" hidden="false" outlineLevel="0" max="12291" min="12291" style="109" width="21.71"/>
    <col collapsed="false" customWidth="true" hidden="false" outlineLevel="0" max="12292" min="12292" style="109" width="0.42"/>
    <col collapsed="false" customWidth="true" hidden="false" outlineLevel="0" max="12293" min="12293" style="109" width="12.15"/>
    <col collapsed="false" customWidth="true" hidden="false" outlineLevel="0" max="12294" min="12294" style="109" width="0.42"/>
    <col collapsed="false" customWidth="true" hidden="false" outlineLevel="0" max="12295" min="12295" style="109" width="12.15"/>
    <col collapsed="false" customWidth="true" hidden="false" outlineLevel="0" max="12296" min="12296" style="109" width="0.42"/>
    <col collapsed="false" customWidth="true" hidden="false" outlineLevel="0" max="12297" min="12297" style="109" width="12.15"/>
    <col collapsed="false" customWidth="true" hidden="false" outlineLevel="0" max="12298" min="12298" style="109" width="0.42"/>
    <col collapsed="false" customWidth="true" hidden="false" outlineLevel="0" max="12299" min="12299" style="109" width="12.15"/>
    <col collapsed="false" customWidth="true" hidden="false" outlineLevel="0" max="12300" min="12300" style="109" width="0.42"/>
    <col collapsed="false" customWidth="true" hidden="false" outlineLevel="0" max="12301" min="12301" style="109" width="12.15"/>
    <col collapsed="false" customWidth="false" hidden="false" outlineLevel="0" max="12302" min="12302" style="109" width="8.29"/>
    <col collapsed="false" customWidth="true" hidden="false" outlineLevel="0" max="12304" min="12303" style="109" width="9.57"/>
    <col collapsed="false" customWidth="false" hidden="false" outlineLevel="0" max="12544" min="12305" style="109" width="8.29"/>
    <col collapsed="false" customWidth="true" hidden="false" outlineLevel="0" max="12546" min="12545" style="109" width="1.42"/>
    <col collapsed="false" customWidth="true" hidden="false" outlineLevel="0" max="12547" min="12547" style="109" width="21.71"/>
    <col collapsed="false" customWidth="true" hidden="false" outlineLevel="0" max="12548" min="12548" style="109" width="0.42"/>
    <col collapsed="false" customWidth="true" hidden="false" outlineLevel="0" max="12549" min="12549" style="109" width="12.15"/>
    <col collapsed="false" customWidth="true" hidden="false" outlineLevel="0" max="12550" min="12550" style="109" width="0.42"/>
    <col collapsed="false" customWidth="true" hidden="false" outlineLevel="0" max="12551" min="12551" style="109" width="12.15"/>
    <col collapsed="false" customWidth="true" hidden="false" outlineLevel="0" max="12552" min="12552" style="109" width="0.42"/>
    <col collapsed="false" customWidth="true" hidden="false" outlineLevel="0" max="12553" min="12553" style="109" width="12.15"/>
    <col collapsed="false" customWidth="true" hidden="false" outlineLevel="0" max="12554" min="12554" style="109" width="0.42"/>
    <col collapsed="false" customWidth="true" hidden="false" outlineLevel="0" max="12555" min="12555" style="109" width="12.15"/>
    <col collapsed="false" customWidth="true" hidden="false" outlineLevel="0" max="12556" min="12556" style="109" width="0.42"/>
    <col collapsed="false" customWidth="true" hidden="false" outlineLevel="0" max="12557" min="12557" style="109" width="12.15"/>
    <col collapsed="false" customWidth="false" hidden="false" outlineLevel="0" max="12558" min="12558" style="109" width="8.29"/>
    <col collapsed="false" customWidth="true" hidden="false" outlineLevel="0" max="12560" min="12559" style="109" width="9.57"/>
    <col collapsed="false" customWidth="false" hidden="false" outlineLevel="0" max="12800" min="12561" style="109" width="8.29"/>
    <col collapsed="false" customWidth="true" hidden="false" outlineLevel="0" max="12802" min="12801" style="109" width="1.42"/>
    <col collapsed="false" customWidth="true" hidden="false" outlineLevel="0" max="12803" min="12803" style="109" width="21.71"/>
    <col collapsed="false" customWidth="true" hidden="false" outlineLevel="0" max="12804" min="12804" style="109" width="0.42"/>
    <col collapsed="false" customWidth="true" hidden="false" outlineLevel="0" max="12805" min="12805" style="109" width="12.15"/>
    <col collapsed="false" customWidth="true" hidden="false" outlineLevel="0" max="12806" min="12806" style="109" width="0.42"/>
    <col collapsed="false" customWidth="true" hidden="false" outlineLevel="0" max="12807" min="12807" style="109" width="12.15"/>
    <col collapsed="false" customWidth="true" hidden="false" outlineLevel="0" max="12808" min="12808" style="109" width="0.42"/>
    <col collapsed="false" customWidth="true" hidden="false" outlineLevel="0" max="12809" min="12809" style="109" width="12.15"/>
    <col collapsed="false" customWidth="true" hidden="false" outlineLevel="0" max="12810" min="12810" style="109" width="0.42"/>
    <col collapsed="false" customWidth="true" hidden="false" outlineLevel="0" max="12811" min="12811" style="109" width="12.15"/>
    <col collapsed="false" customWidth="true" hidden="false" outlineLevel="0" max="12812" min="12812" style="109" width="0.42"/>
    <col collapsed="false" customWidth="true" hidden="false" outlineLevel="0" max="12813" min="12813" style="109" width="12.15"/>
    <col collapsed="false" customWidth="false" hidden="false" outlineLevel="0" max="12814" min="12814" style="109" width="8.29"/>
    <col collapsed="false" customWidth="true" hidden="false" outlineLevel="0" max="12816" min="12815" style="109" width="9.57"/>
    <col collapsed="false" customWidth="false" hidden="false" outlineLevel="0" max="13056" min="12817" style="109" width="8.29"/>
    <col collapsed="false" customWidth="true" hidden="false" outlineLevel="0" max="13058" min="13057" style="109" width="1.42"/>
    <col collapsed="false" customWidth="true" hidden="false" outlineLevel="0" max="13059" min="13059" style="109" width="21.71"/>
    <col collapsed="false" customWidth="true" hidden="false" outlineLevel="0" max="13060" min="13060" style="109" width="0.42"/>
    <col collapsed="false" customWidth="true" hidden="false" outlineLevel="0" max="13061" min="13061" style="109" width="12.15"/>
    <col collapsed="false" customWidth="true" hidden="false" outlineLevel="0" max="13062" min="13062" style="109" width="0.42"/>
    <col collapsed="false" customWidth="true" hidden="false" outlineLevel="0" max="13063" min="13063" style="109" width="12.15"/>
    <col collapsed="false" customWidth="true" hidden="false" outlineLevel="0" max="13064" min="13064" style="109" width="0.42"/>
    <col collapsed="false" customWidth="true" hidden="false" outlineLevel="0" max="13065" min="13065" style="109" width="12.15"/>
    <col collapsed="false" customWidth="true" hidden="false" outlineLevel="0" max="13066" min="13066" style="109" width="0.42"/>
    <col collapsed="false" customWidth="true" hidden="false" outlineLevel="0" max="13067" min="13067" style="109" width="12.15"/>
    <col collapsed="false" customWidth="true" hidden="false" outlineLevel="0" max="13068" min="13068" style="109" width="0.42"/>
    <col collapsed="false" customWidth="true" hidden="false" outlineLevel="0" max="13069" min="13069" style="109" width="12.15"/>
    <col collapsed="false" customWidth="false" hidden="false" outlineLevel="0" max="13070" min="13070" style="109" width="8.29"/>
    <col collapsed="false" customWidth="true" hidden="false" outlineLevel="0" max="13072" min="13071" style="109" width="9.57"/>
    <col collapsed="false" customWidth="false" hidden="false" outlineLevel="0" max="13312" min="13073" style="109" width="8.29"/>
    <col collapsed="false" customWidth="true" hidden="false" outlineLevel="0" max="13314" min="13313" style="109" width="1.42"/>
    <col collapsed="false" customWidth="true" hidden="false" outlineLevel="0" max="13315" min="13315" style="109" width="21.71"/>
    <col collapsed="false" customWidth="true" hidden="false" outlineLevel="0" max="13316" min="13316" style="109" width="0.42"/>
    <col collapsed="false" customWidth="true" hidden="false" outlineLevel="0" max="13317" min="13317" style="109" width="12.15"/>
    <col collapsed="false" customWidth="true" hidden="false" outlineLevel="0" max="13318" min="13318" style="109" width="0.42"/>
    <col collapsed="false" customWidth="true" hidden="false" outlineLevel="0" max="13319" min="13319" style="109" width="12.15"/>
    <col collapsed="false" customWidth="true" hidden="false" outlineLevel="0" max="13320" min="13320" style="109" width="0.42"/>
    <col collapsed="false" customWidth="true" hidden="false" outlineLevel="0" max="13321" min="13321" style="109" width="12.15"/>
    <col collapsed="false" customWidth="true" hidden="false" outlineLevel="0" max="13322" min="13322" style="109" width="0.42"/>
    <col collapsed="false" customWidth="true" hidden="false" outlineLevel="0" max="13323" min="13323" style="109" width="12.15"/>
    <col collapsed="false" customWidth="true" hidden="false" outlineLevel="0" max="13324" min="13324" style="109" width="0.42"/>
    <col collapsed="false" customWidth="true" hidden="false" outlineLevel="0" max="13325" min="13325" style="109" width="12.15"/>
    <col collapsed="false" customWidth="false" hidden="false" outlineLevel="0" max="13326" min="13326" style="109" width="8.29"/>
    <col collapsed="false" customWidth="true" hidden="false" outlineLevel="0" max="13328" min="13327" style="109" width="9.57"/>
    <col collapsed="false" customWidth="false" hidden="false" outlineLevel="0" max="13568" min="13329" style="109" width="8.29"/>
    <col collapsed="false" customWidth="true" hidden="false" outlineLevel="0" max="13570" min="13569" style="109" width="1.42"/>
    <col collapsed="false" customWidth="true" hidden="false" outlineLevel="0" max="13571" min="13571" style="109" width="21.71"/>
    <col collapsed="false" customWidth="true" hidden="false" outlineLevel="0" max="13572" min="13572" style="109" width="0.42"/>
    <col collapsed="false" customWidth="true" hidden="false" outlineLevel="0" max="13573" min="13573" style="109" width="12.15"/>
    <col collapsed="false" customWidth="true" hidden="false" outlineLevel="0" max="13574" min="13574" style="109" width="0.42"/>
    <col collapsed="false" customWidth="true" hidden="false" outlineLevel="0" max="13575" min="13575" style="109" width="12.15"/>
    <col collapsed="false" customWidth="true" hidden="false" outlineLevel="0" max="13576" min="13576" style="109" width="0.42"/>
    <col collapsed="false" customWidth="true" hidden="false" outlineLevel="0" max="13577" min="13577" style="109" width="12.15"/>
    <col collapsed="false" customWidth="true" hidden="false" outlineLevel="0" max="13578" min="13578" style="109" width="0.42"/>
    <col collapsed="false" customWidth="true" hidden="false" outlineLevel="0" max="13579" min="13579" style="109" width="12.15"/>
    <col collapsed="false" customWidth="true" hidden="false" outlineLevel="0" max="13580" min="13580" style="109" width="0.42"/>
    <col collapsed="false" customWidth="true" hidden="false" outlineLevel="0" max="13581" min="13581" style="109" width="12.15"/>
    <col collapsed="false" customWidth="false" hidden="false" outlineLevel="0" max="13582" min="13582" style="109" width="8.29"/>
    <col collapsed="false" customWidth="true" hidden="false" outlineLevel="0" max="13584" min="13583" style="109" width="9.57"/>
    <col collapsed="false" customWidth="false" hidden="false" outlineLevel="0" max="13824" min="13585" style="109" width="8.29"/>
    <col collapsed="false" customWidth="true" hidden="false" outlineLevel="0" max="13826" min="13825" style="109" width="1.42"/>
    <col collapsed="false" customWidth="true" hidden="false" outlineLevel="0" max="13827" min="13827" style="109" width="21.71"/>
    <col collapsed="false" customWidth="true" hidden="false" outlineLevel="0" max="13828" min="13828" style="109" width="0.42"/>
    <col collapsed="false" customWidth="true" hidden="false" outlineLevel="0" max="13829" min="13829" style="109" width="12.15"/>
    <col collapsed="false" customWidth="true" hidden="false" outlineLevel="0" max="13830" min="13830" style="109" width="0.42"/>
    <col collapsed="false" customWidth="true" hidden="false" outlineLevel="0" max="13831" min="13831" style="109" width="12.15"/>
    <col collapsed="false" customWidth="true" hidden="false" outlineLevel="0" max="13832" min="13832" style="109" width="0.42"/>
    <col collapsed="false" customWidth="true" hidden="false" outlineLevel="0" max="13833" min="13833" style="109" width="12.15"/>
    <col collapsed="false" customWidth="true" hidden="false" outlineLevel="0" max="13834" min="13834" style="109" width="0.42"/>
    <col collapsed="false" customWidth="true" hidden="false" outlineLevel="0" max="13835" min="13835" style="109" width="12.15"/>
    <col collapsed="false" customWidth="true" hidden="false" outlineLevel="0" max="13836" min="13836" style="109" width="0.42"/>
    <col collapsed="false" customWidth="true" hidden="false" outlineLevel="0" max="13837" min="13837" style="109" width="12.15"/>
    <col collapsed="false" customWidth="false" hidden="false" outlineLevel="0" max="13838" min="13838" style="109" width="8.29"/>
    <col collapsed="false" customWidth="true" hidden="false" outlineLevel="0" max="13840" min="13839" style="109" width="9.57"/>
    <col collapsed="false" customWidth="false" hidden="false" outlineLevel="0" max="14080" min="13841" style="109" width="8.29"/>
    <col collapsed="false" customWidth="true" hidden="false" outlineLevel="0" max="14082" min="14081" style="109" width="1.42"/>
    <col collapsed="false" customWidth="true" hidden="false" outlineLevel="0" max="14083" min="14083" style="109" width="21.71"/>
    <col collapsed="false" customWidth="true" hidden="false" outlineLevel="0" max="14084" min="14084" style="109" width="0.42"/>
    <col collapsed="false" customWidth="true" hidden="false" outlineLevel="0" max="14085" min="14085" style="109" width="12.15"/>
    <col collapsed="false" customWidth="true" hidden="false" outlineLevel="0" max="14086" min="14086" style="109" width="0.42"/>
    <col collapsed="false" customWidth="true" hidden="false" outlineLevel="0" max="14087" min="14087" style="109" width="12.15"/>
    <col collapsed="false" customWidth="true" hidden="false" outlineLevel="0" max="14088" min="14088" style="109" width="0.42"/>
    <col collapsed="false" customWidth="true" hidden="false" outlineLevel="0" max="14089" min="14089" style="109" width="12.15"/>
    <col collapsed="false" customWidth="true" hidden="false" outlineLevel="0" max="14090" min="14090" style="109" width="0.42"/>
    <col collapsed="false" customWidth="true" hidden="false" outlineLevel="0" max="14091" min="14091" style="109" width="12.15"/>
    <col collapsed="false" customWidth="true" hidden="false" outlineLevel="0" max="14092" min="14092" style="109" width="0.42"/>
    <col collapsed="false" customWidth="true" hidden="false" outlineLevel="0" max="14093" min="14093" style="109" width="12.15"/>
    <col collapsed="false" customWidth="false" hidden="false" outlineLevel="0" max="14094" min="14094" style="109" width="8.29"/>
    <col collapsed="false" customWidth="true" hidden="false" outlineLevel="0" max="14096" min="14095" style="109" width="9.57"/>
    <col collapsed="false" customWidth="false" hidden="false" outlineLevel="0" max="14336" min="14097" style="109" width="8.29"/>
    <col collapsed="false" customWidth="true" hidden="false" outlineLevel="0" max="14338" min="14337" style="109" width="1.42"/>
    <col collapsed="false" customWidth="true" hidden="false" outlineLevel="0" max="14339" min="14339" style="109" width="21.71"/>
    <col collapsed="false" customWidth="true" hidden="false" outlineLevel="0" max="14340" min="14340" style="109" width="0.42"/>
    <col collapsed="false" customWidth="true" hidden="false" outlineLevel="0" max="14341" min="14341" style="109" width="12.15"/>
    <col collapsed="false" customWidth="true" hidden="false" outlineLevel="0" max="14342" min="14342" style="109" width="0.42"/>
    <col collapsed="false" customWidth="true" hidden="false" outlineLevel="0" max="14343" min="14343" style="109" width="12.15"/>
    <col collapsed="false" customWidth="true" hidden="false" outlineLevel="0" max="14344" min="14344" style="109" width="0.42"/>
    <col collapsed="false" customWidth="true" hidden="false" outlineLevel="0" max="14345" min="14345" style="109" width="12.15"/>
    <col collapsed="false" customWidth="true" hidden="false" outlineLevel="0" max="14346" min="14346" style="109" width="0.42"/>
    <col collapsed="false" customWidth="true" hidden="false" outlineLevel="0" max="14347" min="14347" style="109" width="12.15"/>
    <col collapsed="false" customWidth="true" hidden="false" outlineLevel="0" max="14348" min="14348" style="109" width="0.42"/>
    <col collapsed="false" customWidth="true" hidden="false" outlineLevel="0" max="14349" min="14349" style="109" width="12.15"/>
    <col collapsed="false" customWidth="false" hidden="false" outlineLevel="0" max="14350" min="14350" style="109" width="8.29"/>
    <col collapsed="false" customWidth="true" hidden="false" outlineLevel="0" max="14352" min="14351" style="109" width="9.57"/>
    <col collapsed="false" customWidth="false" hidden="false" outlineLevel="0" max="14592" min="14353" style="109" width="8.29"/>
    <col collapsed="false" customWidth="true" hidden="false" outlineLevel="0" max="14594" min="14593" style="109" width="1.42"/>
    <col collapsed="false" customWidth="true" hidden="false" outlineLevel="0" max="14595" min="14595" style="109" width="21.71"/>
    <col collapsed="false" customWidth="true" hidden="false" outlineLevel="0" max="14596" min="14596" style="109" width="0.42"/>
    <col collapsed="false" customWidth="true" hidden="false" outlineLevel="0" max="14597" min="14597" style="109" width="12.15"/>
    <col collapsed="false" customWidth="true" hidden="false" outlineLevel="0" max="14598" min="14598" style="109" width="0.42"/>
    <col collapsed="false" customWidth="true" hidden="false" outlineLevel="0" max="14599" min="14599" style="109" width="12.15"/>
    <col collapsed="false" customWidth="true" hidden="false" outlineLevel="0" max="14600" min="14600" style="109" width="0.42"/>
    <col collapsed="false" customWidth="true" hidden="false" outlineLevel="0" max="14601" min="14601" style="109" width="12.15"/>
    <col collapsed="false" customWidth="true" hidden="false" outlineLevel="0" max="14602" min="14602" style="109" width="0.42"/>
    <col collapsed="false" customWidth="true" hidden="false" outlineLevel="0" max="14603" min="14603" style="109" width="12.15"/>
    <col collapsed="false" customWidth="true" hidden="false" outlineLevel="0" max="14604" min="14604" style="109" width="0.42"/>
    <col collapsed="false" customWidth="true" hidden="false" outlineLevel="0" max="14605" min="14605" style="109" width="12.15"/>
    <col collapsed="false" customWidth="false" hidden="false" outlineLevel="0" max="14606" min="14606" style="109" width="8.29"/>
    <col collapsed="false" customWidth="true" hidden="false" outlineLevel="0" max="14608" min="14607" style="109" width="9.57"/>
    <col collapsed="false" customWidth="false" hidden="false" outlineLevel="0" max="14848" min="14609" style="109" width="8.29"/>
    <col collapsed="false" customWidth="true" hidden="false" outlineLevel="0" max="14850" min="14849" style="109" width="1.42"/>
    <col collapsed="false" customWidth="true" hidden="false" outlineLevel="0" max="14851" min="14851" style="109" width="21.71"/>
    <col collapsed="false" customWidth="true" hidden="false" outlineLevel="0" max="14852" min="14852" style="109" width="0.42"/>
    <col collapsed="false" customWidth="true" hidden="false" outlineLevel="0" max="14853" min="14853" style="109" width="12.15"/>
    <col collapsed="false" customWidth="true" hidden="false" outlineLevel="0" max="14854" min="14854" style="109" width="0.42"/>
    <col collapsed="false" customWidth="true" hidden="false" outlineLevel="0" max="14855" min="14855" style="109" width="12.15"/>
    <col collapsed="false" customWidth="true" hidden="false" outlineLevel="0" max="14856" min="14856" style="109" width="0.42"/>
    <col collapsed="false" customWidth="true" hidden="false" outlineLevel="0" max="14857" min="14857" style="109" width="12.15"/>
    <col collapsed="false" customWidth="true" hidden="false" outlineLevel="0" max="14858" min="14858" style="109" width="0.42"/>
    <col collapsed="false" customWidth="true" hidden="false" outlineLevel="0" max="14859" min="14859" style="109" width="12.15"/>
    <col collapsed="false" customWidth="true" hidden="false" outlineLevel="0" max="14860" min="14860" style="109" width="0.42"/>
    <col collapsed="false" customWidth="true" hidden="false" outlineLevel="0" max="14861" min="14861" style="109" width="12.15"/>
    <col collapsed="false" customWidth="false" hidden="false" outlineLevel="0" max="14862" min="14862" style="109" width="8.29"/>
    <col collapsed="false" customWidth="true" hidden="false" outlineLevel="0" max="14864" min="14863" style="109" width="9.57"/>
    <col collapsed="false" customWidth="false" hidden="false" outlineLevel="0" max="15104" min="14865" style="109" width="8.29"/>
    <col collapsed="false" customWidth="true" hidden="false" outlineLevel="0" max="15106" min="15105" style="109" width="1.42"/>
    <col collapsed="false" customWidth="true" hidden="false" outlineLevel="0" max="15107" min="15107" style="109" width="21.71"/>
    <col collapsed="false" customWidth="true" hidden="false" outlineLevel="0" max="15108" min="15108" style="109" width="0.42"/>
    <col collapsed="false" customWidth="true" hidden="false" outlineLevel="0" max="15109" min="15109" style="109" width="12.15"/>
    <col collapsed="false" customWidth="true" hidden="false" outlineLevel="0" max="15110" min="15110" style="109" width="0.42"/>
    <col collapsed="false" customWidth="true" hidden="false" outlineLevel="0" max="15111" min="15111" style="109" width="12.15"/>
    <col collapsed="false" customWidth="true" hidden="false" outlineLevel="0" max="15112" min="15112" style="109" width="0.42"/>
    <col collapsed="false" customWidth="true" hidden="false" outlineLevel="0" max="15113" min="15113" style="109" width="12.15"/>
    <col collapsed="false" customWidth="true" hidden="false" outlineLevel="0" max="15114" min="15114" style="109" width="0.42"/>
    <col collapsed="false" customWidth="true" hidden="false" outlineLevel="0" max="15115" min="15115" style="109" width="12.15"/>
    <col collapsed="false" customWidth="true" hidden="false" outlineLevel="0" max="15116" min="15116" style="109" width="0.42"/>
    <col collapsed="false" customWidth="true" hidden="false" outlineLevel="0" max="15117" min="15117" style="109" width="12.15"/>
    <col collapsed="false" customWidth="false" hidden="false" outlineLevel="0" max="15118" min="15118" style="109" width="8.29"/>
    <col collapsed="false" customWidth="true" hidden="false" outlineLevel="0" max="15120" min="15119" style="109" width="9.57"/>
    <col collapsed="false" customWidth="false" hidden="false" outlineLevel="0" max="15360" min="15121" style="109" width="8.29"/>
    <col collapsed="false" customWidth="true" hidden="false" outlineLevel="0" max="15362" min="15361" style="109" width="1.42"/>
    <col collapsed="false" customWidth="true" hidden="false" outlineLevel="0" max="15363" min="15363" style="109" width="21.71"/>
    <col collapsed="false" customWidth="true" hidden="false" outlineLevel="0" max="15364" min="15364" style="109" width="0.42"/>
    <col collapsed="false" customWidth="true" hidden="false" outlineLevel="0" max="15365" min="15365" style="109" width="12.15"/>
    <col collapsed="false" customWidth="true" hidden="false" outlineLevel="0" max="15366" min="15366" style="109" width="0.42"/>
    <col collapsed="false" customWidth="true" hidden="false" outlineLevel="0" max="15367" min="15367" style="109" width="12.15"/>
    <col collapsed="false" customWidth="true" hidden="false" outlineLevel="0" max="15368" min="15368" style="109" width="0.42"/>
    <col collapsed="false" customWidth="true" hidden="false" outlineLevel="0" max="15369" min="15369" style="109" width="12.15"/>
    <col collapsed="false" customWidth="true" hidden="false" outlineLevel="0" max="15370" min="15370" style="109" width="0.42"/>
    <col collapsed="false" customWidth="true" hidden="false" outlineLevel="0" max="15371" min="15371" style="109" width="12.15"/>
    <col collapsed="false" customWidth="true" hidden="false" outlineLevel="0" max="15372" min="15372" style="109" width="0.42"/>
    <col collapsed="false" customWidth="true" hidden="false" outlineLevel="0" max="15373" min="15373" style="109" width="12.15"/>
    <col collapsed="false" customWidth="false" hidden="false" outlineLevel="0" max="15374" min="15374" style="109" width="8.29"/>
    <col collapsed="false" customWidth="true" hidden="false" outlineLevel="0" max="15376" min="15375" style="109" width="9.57"/>
    <col collapsed="false" customWidth="false" hidden="false" outlineLevel="0" max="15616" min="15377" style="109" width="8.29"/>
    <col collapsed="false" customWidth="true" hidden="false" outlineLevel="0" max="15618" min="15617" style="109" width="1.42"/>
    <col collapsed="false" customWidth="true" hidden="false" outlineLevel="0" max="15619" min="15619" style="109" width="21.71"/>
    <col collapsed="false" customWidth="true" hidden="false" outlineLevel="0" max="15620" min="15620" style="109" width="0.42"/>
    <col collapsed="false" customWidth="true" hidden="false" outlineLevel="0" max="15621" min="15621" style="109" width="12.15"/>
    <col collapsed="false" customWidth="true" hidden="false" outlineLevel="0" max="15622" min="15622" style="109" width="0.42"/>
    <col collapsed="false" customWidth="true" hidden="false" outlineLevel="0" max="15623" min="15623" style="109" width="12.15"/>
    <col collapsed="false" customWidth="true" hidden="false" outlineLevel="0" max="15624" min="15624" style="109" width="0.42"/>
    <col collapsed="false" customWidth="true" hidden="false" outlineLevel="0" max="15625" min="15625" style="109" width="12.15"/>
    <col collapsed="false" customWidth="true" hidden="false" outlineLevel="0" max="15626" min="15626" style="109" width="0.42"/>
    <col collapsed="false" customWidth="true" hidden="false" outlineLevel="0" max="15627" min="15627" style="109" width="12.15"/>
    <col collapsed="false" customWidth="true" hidden="false" outlineLevel="0" max="15628" min="15628" style="109" width="0.42"/>
    <col collapsed="false" customWidth="true" hidden="false" outlineLevel="0" max="15629" min="15629" style="109" width="12.15"/>
    <col collapsed="false" customWidth="false" hidden="false" outlineLevel="0" max="15630" min="15630" style="109" width="8.29"/>
    <col collapsed="false" customWidth="true" hidden="false" outlineLevel="0" max="15632" min="15631" style="109" width="9.57"/>
    <col collapsed="false" customWidth="false" hidden="false" outlineLevel="0" max="15872" min="15633" style="109" width="8.29"/>
    <col collapsed="false" customWidth="true" hidden="false" outlineLevel="0" max="15874" min="15873" style="109" width="1.42"/>
    <col collapsed="false" customWidth="true" hidden="false" outlineLevel="0" max="15875" min="15875" style="109" width="21.71"/>
    <col collapsed="false" customWidth="true" hidden="false" outlineLevel="0" max="15876" min="15876" style="109" width="0.42"/>
    <col collapsed="false" customWidth="true" hidden="false" outlineLevel="0" max="15877" min="15877" style="109" width="12.15"/>
    <col collapsed="false" customWidth="true" hidden="false" outlineLevel="0" max="15878" min="15878" style="109" width="0.42"/>
    <col collapsed="false" customWidth="true" hidden="false" outlineLevel="0" max="15879" min="15879" style="109" width="12.15"/>
    <col collapsed="false" customWidth="true" hidden="false" outlineLevel="0" max="15880" min="15880" style="109" width="0.42"/>
    <col collapsed="false" customWidth="true" hidden="false" outlineLevel="0" max="15881" min="15881" style="109" width="12.15"/>
    <col collapsed="false" customWidth="true" hidden="false" outlineLevel="0" max="15882" min="15882" style="109" width="0.42"/>
    <col collapsed="false" customWidth="true" hidden="false" outlineLevel="0" max="15883" min="15883" style="109" width="12.15"/>
    <col collapsed="false" customWidth="true" hidden="false" outlineLevel="0" max="15884" min="15884" style="109" width="0.42"/>
    <col collapsed="false" customWidth="true" hidden="false" outlineLevel="0" max="15885" min="15885" style="109" width="12.15"/>
    <col collapsed="false" customWidth="false" hidden="false" outlineLevel="0" max="15886" min="15886" style="109" width="8.29"/>
    <col collapsed="false" customWidth="true" hidden="false" outlineLevel="0" max="15888" min="15887" style="109" width="9.57"/>
    <col collapsed="false" customWidth="false" hidden="false" outlineLevel="0" max="16128" min="15889" style="109" width="8.29"/>
    <col collapsed="false" customWidth="true" hidden="false" outlineLevel="0" max="16130" min="16129" style="109" width="1.42"/>
    <col collapsed="false" customWidth="true" hidden="false" outlineLevel="0" max="16131" min="16131" style="109" width="21.71"/>
    <col collapsed="false" customWidth="true" hidden="false" outlineLevel="0" max="16132" min="16132" style="109" width="0.42"/>
    <col collapsed="false" customWidth="true" hidden="false" outlineLevel="0" max="16133" min="16133" style="109" width="12.15"/>
    <col collapsed="false" customWidth="true" hidden="false" outlineLevel="0" max="16134" min="16134" style="109" width="0.42"/>
    <col collapsed="false" customWidth="true" hidden="false" outlineLevel="0" max="16135" min="16135" style="109" width="12.15"/>
    <col collapsed="false" customWidth="true" hidden="false" outlineLevel="0" max="16136" min="16136" style="109" width="0.42"/>
    <col collapsed="false" customWidth="true" hidden="false" outlineLevel="0" max="16137" min="16137" style="109" width="12.15"/>
    <col collapsed="false" customWidth="true" hidden="false" outlineLevel="0" max="16138" min="16138" style="109" width="0.42"/>
    <col collapsed="false" customWidth="true" hidden="false" outlineLevel="0" max="16139" min="16139" style="109" width="12.15"/>
    <col collapsed="false" customWidth="true" hidden="false" outlineLevel="0" max="16140" min="16140" style="109" width="0.42"/>
    <col collapsed="false" customWidth="true" hidden="false" outlineLevel="0" max="16141" min="16141" style="109" width="12.15"/>
    <col collapsed="false" customWidth="false" hidden="false" outlineLevel="0" max="16142" min="16142" style="109" width="8.29"/>
    <col collapsed="false" customWidth="true" hidden="false" outlineLevel="0" max="16144" min="16143" style="109" width="9.57"/>
    <col collapsed="false" customWidth="false" hidden="false" outlineLevel="0" max="16384" min="16145" style="109" width="8.29"/>
  </cols>
  <sheetData>
    <row r="1" customFormat="false" ht="24" hidden="false" customHeight="true" outlineLevel="0" collapsed="false">
      <c r="M1" s="110" t="s">
        <v>0</v>
      </c>
    </row>
    <row r="2" customFormat="false" ht="24" hidden="false" customHeight="true" outlineLevel="0" collapsed="false">
      <c r="M2" s="110" t="s">
        <v>1</v>
      </c>
    </row>
    <row r="3" s="112" customFormat="true" ht="24" hidden="false" customHeight="true" outlineLevel="0" collapsed="false">
      <c r="A3" s="111" t="s">
        <v>93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</row>
    <row r="4" s="112" customFormat="true" ht="24" hidden="false" customHeight="true" outlineLevel="0" collapsed="false">
      <c r="A4" s="113" t="s">
        <v>3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="112" customFormat="true" ht="24" hidden="false" customHeight="true" outlineLevel="0" collapsed="false">
      <c r="A5" s="113" t="s">
        <v>94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</row>
    <row r="6" s="112" customFormat="true" ht="24" hidden="false" customHeight="true" outlineLevel="0" collapsed="false">
      <c r="A6" s="113" t="s">
        <v>92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</row>
    <row r="7" customFormat="false" ht="21" hidden="false" customHeight="true" outlineLevel="0" collapsed="false">
      <c r="B7" s="114"/>
      <c r="C7" s="114"/>
      <c r="D7" s="115"/>
      <c r="E7" s="114"/>
      <c r="F7" s="114"/>
      <c r="G7" s="114"/>
      <c r="H7" s="114"/>
      <c r="I7" s="114"/>
      <c r="J7" s="114"/>
      <c r="K7" s="114"/>
      <c r="L7" s="114"/>
    </row>
    <row r="8" s="116" customFormat="true" ht="20.25" hidden="false" customHeight="true" outlineLevel="0" collapsed="false">
      <c r="B8" s="117"/>
      <c r="C8" s="117"/>
      <c r="D8" s="117"/>
      <c r="E8" s="118" t="s">
        <v>7</v>
      </c>
      <c r="F8" s="118"/>
      <c r="G8" s="118"/>
      <c r="H8" s="118"/>
      <c r="I8" s="118"/>
      <c r="J8" s="118"/>
      <c r="K8" s="118"/>
      <c r="L8" s="118"/>
      <c r="M8" s="118"/>
    </row>
    <row r="9" s="116" customFormat="true" ht="21" hidden="false" customHeight="true" outlineLevel="0" collapsed="false">
      <c r="D9" s="117"/>
      <c r="E9" s="117" t="s">
        <v>95</v>
      </c>
      <c r="F9" s="117"/>
      <c r="G9" s="117" t="s">
        <v>96</v>
      </c>
      <c r="H9" s="117"/>
      <c r="I9" s="118" t="s">
        <v>64</v>
      </c>
      <c r="J9" s="118"/>
      <c r="K9" s="118"/>
      <c r="L9" s="117"/>
      <c r="M9" s="117" t="s">
        <v>97</v>
      </c>
    </row>
    <row r="10" s="116" customFormat="true" ht="21" hidden="false" customHeight="true" outlineLevel="0" collapsed="false">
      <c r="D10" s="117"/>
      <c r="E10" s="117" t="s">
        <v>98</v>
      </c>
      <c r="F10" s="117"/>
      <c r="G10" s="117" t="s">
        <v>99</v>
      </c>
      <c r="H10" s="117"/>
      <c r="I10" s="117" t="s">
        <v>100</v>
      </c>
      <c r="J10" s="117"/>
      <c r="K10" s="117" t="s">
        <v>66</v>
      </c>
      <c r="L10" s="117"/>
      <c r="M10" s="117" t="s">
        <v>101</v>
      </c>
    </row>
    <row r="11" s="116" customFormat="true" ht="21" hidden="false" customHeight="true" outlineLevel="0" collapsed="false">
      <c r="D11" s="117"/>
      <c r="E11" s="117" t="s">
        <v>102</v>
      </c>
      <c r="F11" s="117"/>
      <c r="H11" s="117"/>
      <c r="I11" s="117" t="s">
        <v>103</v>
      </c>
      <c r="K11" s="117"/>
      <c r="L11" s="117"/>
      <c r="M11" s="117"/>
    </row>
    <row r="12" s="116" customFormat="true" ht="21" hidden="false" customHeight="true" outlineLevel="0" collapsed="false">
      <c r="D12" s="117"/>
      <c r="E12" s="119"/>
      <c r="F12" s="117"/>
      <c r="G12" s="119"/>
      <c r="H12" s="117"/>
      <c r="I12" s="118" t="s">
        <v>104</v>
      </c>
      <c r="J12" s="117"/>
      <c r="K12" s="118"/>
      <c r="L12" s="117"/>
      <c r="M12" s="118"/>
    </row>
    <row r="13" s="116" customFormat="true" ht="21" hidden="false" customHeight="true" outlineLevel="0" collapsed="false">
      <c r="A13" s="116" t="s">
        <v>105</v>
      </c>
      <c r="D13" s="117"/>
      <c r="E13" s="120"/>
      <c r="F13" s="120"/>
      <c r="G13" s="120"/>
      <c r="H13" s="120"/>
      <c r="I13" s="120"/>
      <c r="J13" s="120"/>
      <c r="K13" s="120"/>
      <c r="L13" s="120"/>
      <c r="M13" s="120"/>
      <c r="N13" s="121" t="n">
        <f aca="false">M13-งบฐานะการเงิน!K90</f>
        <v>0</v>
      </c>
    </row>
    <row r="14" s="116" customFormat="true" ht="21" hidden="false" customHeight="true" outlineLevel="0" collapsed="false">
      <c r="A14" s="116" t="s">
        <v>106</v>
      </c>
      <c r="D14" s="117"/>
    </row>
    <row r="15" s="116" customFormat="true" ht="21" hidden="false" customHeight="true" outlineLevel="0" collapsed="false">
      <c r="B15" s="116" t="s">
        <v>86</v>
      </c>
      <c r="D15" s="117"/>
      <c r="E15" s="122"/>
      <c r="F15" s="122"/>
      <c r="G15" s="122"/>
      <c r="H15" s="122"/>
      <c r="I15" s="122"/>
      <c r="J15" s="123"/>
      <c r="K15" s="124" t="n">
        <f aca="false">'งบกำไรเบ็ดเสร็จ 6 เดือน'!I25</f>
        <v>0</v>
      </c>
      <c r="L15" s="124"/>
      <c r="M15" s="124" t="n">
        <f aca="false">SUM(E15:K15)</f>
        <v>0</v>
      </c>
      <c r="P15" s="121"/>
    </row>
    <row r="16" s="116" customFormat="true" ht="21" hidden="false" customHeight="true" outlineLevel="0" collapsed="false">
      <c r="A16" s="116" t="s">
        <v>107</v>
      </c>
      <c r="D16" s="117"/>
      <c r="E16" s="125" t="n">
        <f aca="false">E13+E15</f>
        <v>0</v>
      </c>
      <c r="F16" s="120"/>
      <c r="G16" s="125" t="n">
        <f aca="false">G13+G15</f>
        <v>0</v>
      </c>
      <c r="H16" s="120"/>
      <c r="I16" s="125" t="n">
        <f aca="false">I13+I15</f>
        <v>0</v>
      </c>
      <c r="J16" s="120"/>
      <c r="K16" s="125" t="n">
        <f aca="false">K13+K15</f>
        <v>0</v>
      </c>
      <c r="L16" s="120"/>
      <c r="M16" s="125" t="n">
        <f aca="false">M13+M15</f>
        <v>0</v>
      </c>
      <c r="N16" s="121" t="n">
        <f aca="false">M16-งบฐานะการเงิน!I90</f>
        <v>0</v>
      </c>
      <c r="O16" s="121"/>
    </row>
    <row r="17" s="116" customFormat="true" ht="21" hidden="false" customHeight="true" outlineLevel="0" collapsed="false">
      <c r="D17" s="117"/>
      <c r="E17" s="120"/>
      <c r="F17" s="120"/>
      <c r="G17" s="120"/>
      <c r="H17" s="120"/>
      <c r="I17" s="120"/>
      <c r="J17" s="120"/>
      <c r="K17" s="120"/>
      <c r="L17" s="120"/>
      <c r="M17" s="120"/>
      <c r="O17" s="121"/>
    </row>
    <row r="18" s="116" customFormat="true" ht="21" hidden="false" customHeight="true" outlineLevel="0" collapsed="false">
      <c r="A18" s="116" t="s">
        <v>108</v>
      </c>
      <c r="D18" s="117"/>
      <c r="E18" s="120"/>
      <c r="F18" s="120"/>
      <c r="G18" s="120"/>
      <c r="H18" s="120"/>
      <c r="I18" s="120"/>
      <c r="J18" s="120"/>
      <c r="K18" s="120"/>
      <c r="L18" s="120"/>
      <c r="M18" s="120"/>
    </row>
    <row r="19" s="116" customFormat="true" ht="21" hidden="false" customHeight="true" outlineLevel="0" collapsed="false">
      <c r="A19" s="116" t="s">
        <v>106</v>
      </c>
      <c r="D19" s="117"/>
    </row>
    <row r="20" s="116" customFormat="true" ht="21" hidden="false" customHeight="true" outlineLevel="0" collapsed="false">
      <c r="B20" s="116" t="s">
        <v>86</v>
      </c>
      <c r="D20" s="117"/>
      <c r="E20" s="122"/>
      <c r="F20" s="120"/>
      <c r="G20" s="122"/>
      <c r="H20" s="120"/>
      <c r="I20" s="122"/>
      <c r="J20" s="123"/>
      <c r="K20" s="124"/>
      <c r="L20" s="122"/>
      <c r="M20" s="124"/>
    </row>
    <row r="21" s="116" customFormat="true" ht="21" hidden="false" customHeight="true" outlineLevel="0" collapsed="false">
      <c r="A21" s="116" t="s">
        <v>109</v>
      </c>
      <c r="D21" s="117"/>
      <c r="E21" s="125"/>
      <c r="F21" s="120"/>
      <c r="G21" s="125"/>
      <c r="H21" s="123"/>
      <c r="I21" s="125"/>
      <c r="J21" s="120"/>
      <c r="K21" s="125"/>
      <c r="L21" s="120"/>
      <c r="M21" s="125"/>
    </row>
    <row r="22" s="116" customFormat="true" ht="19.5" hidden="false" customHeight="true" outlineLevel="0" collapsed="false">
      <c r="D22" s="117"/>
      <c r="E22" s="120"/>
      <c r="F22" s="120"/>
      <c r="G22" s="120"/>
      <c r="H22" s="120"/>
      <c r="I22" s="120"/>
      <c r="J22" s="120"/>
      <c r="K22" s="120"/>
      <c r="L22" s="120"/>
    </row>
    <row r="23" s="126" customFormat="true" ht="19.5" hidden="false" customHeight="true" outlineLevel="0" collapsed="false">
      <c r="D23" s="127"/>
      <c r="E23" s="128"/>
      <c r="F23" s="128"/>
      <c r="G23" s="128"/>
      <c r="H23" s="128"/>
      <c r="I23" s="128"/>
      <c r="J23" s="128"/>
      <c r="K23" s="128"/>
      <c r="L23" s="128"/>
    </row>
    <row r="24" s="129" customFormat="true" ht="19.5" hidden="false" customHeight="true" outlineLevel="0" collapsed="false">
      <c r="D24" s="130"/>
      <c r="E24" s="131"/>
      <c r="F24" s="131"/>
      <c r="G24" s="131"/>
      <c r="H24" s="131"/>
      <c r="I24" s="131"/>
      <c r="J24" s="131"/>
      <c r="K24" s="131"/>
      <c r="L24" s="131"/>
    </row>
    <row r="25" s="132" customFormat="true" ht="19.5" hidden="false" customHeight="true" outlineLevel="0" collapsed="false">
      <c r="D25" s="133"/>
      <c r="E25" s="134"/>
      <c r="F25" s="134"/>
      <c r="G25" s="134"/>
      <c r="H25" s="134"/>
      <c r="I25" s="134"/>
      <c r="J25" s="134"/>
      <c r="K25" s="134"/>
      <c r="L25" s="134"/>
    </row>
    <row r="26" s="132" customFormat="true" ht="19.5" hidden="false" customHeight="true" outlineLevel="0" collapsed="false">
      <c r="D26" s="133"/>
      <c r="E26" s="134"/>
      <c r="F26" s="134"/>
      <c r="G26" s="134"/>
      <c r="H26" s="134"/>
      <c r="I26" s="134"/>
      <c r="J26" s="134"/>
      <c r="K26" s="134"/>
      <c r="L26" s="134"/>
    </row>
    <row r="27" s="132" customFormat="true" ht="19.5" hidden="false" customHeight="true" outlineLevel="0" collapsed="false">
      <c r="D27" s="133"/>
      <c r="E27" s="134"/>
      <c r="F27" s="134"/>
      <c r="G27" s="134"/>
      <c r="H27" s="134"/>
      <c r="I27" s="134"/>
      <c r="J27" s="134"/>
      <c r="K27" s="134"/>
      <c r="L27" s="134"/>
    </row>
    <row r="28" s="132" customFormat="true" ht="19.5" hidden="false" customHeight="true" outlineLevel="0" collapsed="false">
      <c r="D28" s="133"/>
      <c r="E28" s="134"/>
      <c r="F28" s="134"/>
      <c r="G28" s="134"/>
      <c r="H28" s="134"/>
      <c r="I28" s="134"/>
      <c r="J28" s="134"/>
      <c r="K28" s="134"/>
      <c r="L28" s="134"/>
    </row>
    <row r="29" s="132" customFormat="true" ht="19.5" hidden="false" customHeight="true" outlineLevel="0" collapsed="false">
      <c r="D29" s="133"/>
      <c r="E29" s="134"/>
      <c r="F29" s="134"/>
      <c r="G29" s="134"/>
      <c r="H29" s="134"/>
      <c r="I29" s="134"/>
      <c r="J29" s="134"/>
      <c r="K29" s="134"/>
      <c r="L29" s="134"/>
    </row>
    <row r="30" customFormat="false" ht="24" hidden="false" customHeight="true" outlineLevel="0" collapsed="false">
      <c r="E30" s="135"/>
      <c r="F30" s="135"/>
      <c r="G30" s="135"/>
      <c r="H30" s="135"/>
      <c r="I30" s="135"/>
      <c r="J30" s="135"/>
      <c r="K30" s="135"/>
      <c r="L30" s="135"/>
    </row>
  </sheetData>
  <mergeCells count="6">
    <mergeCell ref="A3:M3"/>
    <mergeCell ref="A4:M4"/>
    <mergeCell ref="A5:M5"/>
    <mergeCell ref="A6:M6"/>
    <mergeCell ref="E8:M8"/>
    <mergeCell ref="I9:K9"/>
  </mergeCells>
  <printOptions headings="false" gridLines="false" gridLinesSet="true" horizontalCentered="false" verticalCentered="false"/>
  <pageMargins left="0.708333333333333" right="0.315277777777778" top="0.511805555555556" bottom="1.18125" header="0.511811023622047" footer="1.181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&amp;L&amp;"Angsana New,Regular"&amp;16 หมายเหตุประกอบงบการเงินระหว่างกาลเป็นส่วนหนึ่งของงบการเงินระหว่างกาลนี้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106"/>
  <sheetViews>
    <sheetView showFormulas="false" showGridLines="true" showRowColHeaders="true" showZeros="true" rightToLeft="false" tabSelected="false" showOutlineSymbols="true" defaultGridColor="true" view="pageBreakPreview" topLeftCell="A1" colorId="64" zoomScale="175" zoomScaleNormal="70" zoomScalePageLayoutView="175" workbookViewId="0">
      <selection pane="topLeft" activeCell="F1" activeCellId="0" sqref="F1"/>
    </sheetView>
  </sheetViews>
  <sheetFormatPr defaultColWidth="7.5703125" defaultRowHeight="24" zeroHeight="false" outlineLevelRow="0" outlineLevelCol="0"/>
  <cols>
    <col collapsed="false" customWidth="true" hidden="false" outlineLevel="0" max="5" min="1" style="136" width="1.14"/>
    <col collapsed="false" customWidth="true" hidden="false" outlineLevel="0" max="6" min="6" style="136" width="58.29"/>
    <col collapsed="false" customWidth="true" hidden="false" outlineLevel="0" max="7" min="7" style="137" width="14"/>
    <col collapsed="false" customWidth="true" hidden="false" outlineLevel="0" max="8" min="8" style="137" width="0.86"/>
    <col collapsed="false" customWidth="true" hidden="false" outlineLevel="0" max="9" min="9" style="137" width="14"/>
    <col collapsed="false" customWidth="true" hidden="false" outlineLevel="0" max="10" min="10" style="136" width="2.86"/>
    <col collapsed="false" customWidth="true" hidden="false" outlineLevel="0" max="12" min="11" style="138" width="13.86"/>
    <col collapsed="false" customWidth="true" hidden="false" outlineLevel="0" max="13" min="13" style="136" width="10.42"/>
    <col collapsed="false" customWidth="false" hidden="false" outlineLevel="0" max="14" min="14" style="136" width="7.57"/>
    <col collapsed="false" customWidth="true" hidden="false" outlineLevel="0" max="15" min="15" style="136" width="12.42"/>
    <col collapsed="false" customWidth="false" hidden="false" outlineLevel="0" max="256" min="16" style="136" width="7.57"/>
    <col collapsed="false" customWidth="true" hidden="false" outlineLevel="0" max="261" min="257" style="136" width="1.14"/>
    <col collapsed="false" customWidth="true" hidden="false" outlineLevel="0" max="262" min="262" style="136" width="50.29"/>
    <col collapsed="false" customWidth="true" hidden="false" outlineLevel="0" max="263" min="263" style="136" width="12.86"/>
    <col collapsed="false" customWidth="true" hidden="false" outlineLevel="0" max="264" min="264" style="136" width="0.86"/>
    <col collapsed="false" customWidth="true" hidden="false" outlineLevel="0" max="265" min="265" style="136" width="12.86"/>
    <col collapsed="false" customWidth="true" hidden="false" outlineLevel="0" max="266" min="266" style="136" width="2.86"/>
    <col collapsed="false" customWidth="true" hidden="false" outlineLevel="0" max="268" min="267" style="136" width="13.86"/>
    <col collapsed="false" customWidth="true" hidden="false" outlineLevel="0" max="269" min="269" style="136" width="10.42"/>
    <col collapsed="false" customWidth="false" hidden="false" outlineLevel="0" max="270" min="270" style="136" width="7.57"/>
    <col collapsed="false" customWidth="true" hidden="false" outlineLevel="0" max="271" min="271" style="136" width="12.42"/>
    <col collapsed="false" customWidth="false" hidden="false" outlineLevel="0" max="512" min="272" style="136" width="7.57"/>
    <col collapsed="false" customWidth="true" hidden="false" outlineLevel="0" max="517" min="513" style="136" width="1.14"/>
    <col collapsed="false" customWidth="true" hidden="false" outlineLevel="0" max="518" min="518" style="136" width="50.29"/>
    <col collapsed="false" customWidth="true" hidden="false" outlineLevel="0" max="519" min="519" style="136" width="12.86"/>
    <col collapsed="false" customWidth="true" hidden="false" outlineLevel="0" max="520" min="520" style="136" width="0.86"/>
    <col collapsed="false" customWidth="true" hidden="false" outlineLevel="0" max="521" min="521" style="136" width="12.86"/>
    <col collapsed="false" customWidth="true" hidden="false" outlineLevel="0" max="522" min="522" style="136" width="2.86"/>
    <col collapsed="false" customWidth="true" hidden="false" outlineLevel="0" max="524" min="523" style="136" width="13.86"/>
    <col collapsed="false" customWidth="true" hidden="false" outlineLevel="0" max="525" min="525" style="136" width="10.42"/>
    <col collapsed="false" customWidth="false" hidden="false" outlineLevel="0" max="526" min="526" style="136" width="7.57"/>
    <col collapsed="false" customWidth="true" hidden="false" outlineLevel="0" max="527" min="527" style="136" width="12.42"/>
    <col collapsed="false" customWidth="false" hidden="false" outlineLevel="0" max="768" min="528" style="136" width="7.57"/>
    <col collapsed="false" customWidth="true" hidden="false" outlineLevel="0" max="773" min="769" style="136" width="1.14"/>
    <col collapsed="false" customWidth="true" hidden="false" outlineLevel="0" max="774" min="774" style="136" width="50.29"/>
    <col collapsed="false" customWidth="true" hidden="false" outlineLevel="0" max="775" min="775" style="136" width="12.86"/>
    <col collapsed="false" customWidth="true" hidden="false" outlineLevel="0" max="776" min="776" style="136" width="0.86"/>
    <col collapsed="false" customWidth="true" hidden="false" outlineLevel="0" max="777" min="777" style="136" width="12.86"/>
    <col collapsed="false" customWidth="true" hidden="false" outlineLevel="0" max="778" min="778" style="136" width="2.86"/>
    <col collapsed="false" customWidth="true" hidden="false" outlineLevel="0" max="780" min="779" style="136" width="13.86"/>
    <col collapsed="false" customWidth="true" hidden="false" outlineLevel="0" max="781" min="781" style="136" width="10.42"/>
    <col collapsed="false" customWidth="false" hidden="false" outlineLevel="0" max="782" min="782" style="136" width="7.57"/>
    <col collapsed="false" customWidth="true" hidden="false" outlineLevel="0" max="783" min="783" style="136" width="12.42"/>
    <col collapsed="false" customWidth="false" hidden="false" outlineLevel="0" max="1024" min="784" style="136" width="7.57"/>
    <col collapsed="false" customWidth="true" hidden="false" outlineLevel="0" max="1029" min="1025" style="136" width="1.14"/>
    <col collapsed="false" customWidth="true" hidden="false" outlineLevel="0" max="1030" min="1030" style="136" width="50.29"/>
    <col collapsed="false" customWidth="true" hidden="false" outlineLevel="0" max="1031" min="1031" style="136" width="12.86"/>
    <col collapsed="false" customWidth="true" hidden="false" outlineLevel="0" max="1032" min="1032" style="136" width="0.86"/>
    <col collapsed="false" customWidth="true" hidden="false" outlineLevel="0" max="1033" min="1033" style="136" width="12.86"/>
    <col collapsed="false" customWidth="true" hidden="false" outlineLevel="0" max="1034" min="1034" style="136" width="2.86"/>
    <col collapsed="false" customWidth="true" hidden="false" outlineLevel="0" max="1036" min="1035" style="136" width="13.86"/>
    <col collapsed="false" customWidth="true" hidden="false" outlineLevel="0" max="1037" min="1037" style="136" width="10.42"/>
    <col collapsed="false" customWidth="false" hidden="false" outlineLevel="0" max="1038" min="1038" style="136" width="7.57"/>
    <col collapsed="false" customWidth="true" hidden="false" outlineLevel="0" max="1039" min="1039" style="136" width="12.42"/>
    <col collapsed="false" customWidth="false" hidden="false" outlineLevel="0" max="1280" min="1040" style="136" width="7.57"/>
    <col collapsed="false" customWidth="true" hidden="false" outlineLevel="0" max="1285" min="1281" style="136" width="1.14"/>
    <col collapsed="false" customWidth="true" hidden="false" outlineLevel="0" max="1286" min="1286" style="136" width="50.29"/>
    <col collapsed="false" customWidth="true" hidden="false" outlineLevel="0" max="1287" min="1287" style="136" width="12.86"/>
    <col collapsed="false" customWidth="true" hidden="false" outlineLevel="0" max="1288" min="1288" style="136" width="0.86"/>
    <col collapsed="false" customWidth="true" hidden="false" outlineLevel="0" max="1289" min="1289" style="136" width="12.86"/>
    <col collapsed="false" customWidth="true" hidden="false" outlineLevel="0" max="1290" min="1290" style="136" width="2.86"/>
    <col collapsed="false" customWidth="true" hidden="false" outlineLevel="0" max="1292" min="1291" style="136" width="13.86"/>
    <col collapsed="false" customWidth="true" hidden="false" outlineLevel="0" max="1293" min="1293" style="136" width="10.42"/>
    <col collapsed="false" customWidth="false" hidden="false" outlineLevel="0" max="1294" min="1294" style="136" width="7.57"/>
    <col collapsed="false" customWidth="true" hidden="false" outlineLevel="0" max="1295" min="1295" style="136" width="12.42"/>
    <col collapsed="false" customWidth="false" hidden="false" outlineLevel="0" max="1536" min="1296" style="136" width="7.57"/>
    <col collapsed="false" customWidth="true" hidden="false" outlineLevel="0" max="1541" min="1537" style="136" width="1.14"/>
    <col collapsed="false" customWidth="true" hidden="false" outlineLevel="0" max="1542" min="1542" style="136" width="50.29"/>
    <col collapsed="false" customWidth="true" hidden="false" outlineLevel="0" max="1543" min="1543" style="136" width="12.86"/>
    <col collapsed="false" customWidth="true" hidden="false" outlineLevel="0" max="1544" min="1544" style="136" width="0.86"/>
    <col collapsed="false" customWidth="true" hidden="false" outlineLevel="0" max="1545" min="1545" style="136" width="12.86"/>
    <col collapsed="false" customWidth="true" hidden="false" outlineLevel="0" max="1546" min="1546" style="136" width="2.86"/>
    <col collapsed="false" customWidth="true" hidden="false" outlineLevel="0" max="1548" min="1547" style="136" width="13.86"/>
    <col collapsed="false" customWidth="true" hidden="false" outlineLevel="0" max="1549" min="1549" style="136" width="10.42"/>
    <col collapsed="false" customWidth="false" hidden="false" outlineLevel="0" max="1550" min="1550" style="136" width="7.57"/>
    <col collapsed="false" customWidth="true" hidden="false" outlineLevel="0" max="1551" min="1551" style="136" width="12.42"/>
    <col collapsed="false" customWidth="false" hidden="false" outlineLevel="0" max="1792" min="1552" style="136" width="7.57"/>
    <col collapsed="false" customWidth="true" hidden="false" outlineLevel="0" max="1797" min="1793" style="136" width="1.14"/>
    <col collapsed="false" customWidth="true" hidden="false" outlineLevel="0" max="1798" min="1798" style="136" width="50.29"/>
    <col collapsed="false" customWidth="true" hidden="false" outlineLevel="0" max="1799" min="1799" style="136" width="12.86"/>
    <col collapsed="false" customWidth="true" hidden="false" outlineLevel="0" max="1800" min="1800" style="136" width="0.86"/>
    <col collapsed="false" customWidth="true" hidden="false" outlineLevel="0" max="1801" min="1801" style="136" width="12.86"/>
    <col collapsed="false" customWidth="true" hidden="false" outlineLevel="0" max="1802" min="1802" style="136" width="2.86"/>
    <col collapsed="false" customWidth="true" hidden="false" outlineLevel="0" max="1804" min="1803" style="136" width="13.86"/>
    <col collapsed="false" customWidth="true" hidden="false" outlineLevel="0" max="1805" min="1805" style="136" width="10.42"/>
    <col collapsed="false" customWidth="false" hidden="false" outlineLevel="0" max="1806" min="1806" style="136" width="7.57"/>
    <col collapsed="false" customWidth="true" hidden="false" outlineLevel="0" max="1807" min="1807" style="136" width="12.42"/>
    <col collapsed="false" customWidth="false" hidden="false" outlineLevel="0" max="2048" min="1808" style="136" width="7.57"/>
    <col collapsed="false" customWidth="true" hidden="false" outlineLevel="0" max="2053" min="2049" style="136" width="1.14"/>
    <col collapsed="false" customWidth="true" hidden="false" outlineLevel="0" max="2054" min="2054" style="136" width="50.29"/>
    <col collapsed="false" customWidth="true" hidden="false" outlineLevel="0" max="2055" min="2055" style="136" width="12.86"/>
    <col collapsed="false" customWidth="true" hidden="false" outlineLevel="0" max="2056" min="2056" style="136" width="0.86"/>
    <col collapsed="false" customWidth="true" hidden="false" outlineLevel="0" max="2057" min="2057" style="136" width="12.86"/>
    <col collapsed="false" customWidth="true" hidden="false" outlineLevel="0" max="2058" min="2058" style="136" width="2.86"/>
    <col collapsed="false" customWidth="true" hidden="false" outlineLevel="0" max="2060" min="2059" style="136" width="13.86"/>
    <col collapsed="false" customWidth="true" hidden="false" outlineLevel="0" max="2061" min="2061" style="136" width="10.42"/>
    <col collapsed="false" customWidth="false" hidden="false" outlineLevel="0" max="2062" min="2062" style="136" width="7.57"/>
    <col collapsed="false" customWidth="true" hidden="false" outlineLevel="0" max="2063" min="2063" style="136" width="12.42"/>
    <col collapsed="false" customWidth="false" hidden="false" outlineLevel="0" max="2304" min="2064" style="136" width="7.57"/>
    <col collapsed="false" customWidth="true" hidden="false" outlineLevel="0" max="2309" min="2305" style="136" width="1.14"/>
    <col collapsed="false" customWidth="true" hidden="false" outlineLevel="0" max="2310" min="2310" style="136" width="50.29"/>
    <col collapsed="false" customWidth="true" hidden="false" outlineLevel="0" max="2311" min="2311" style="136" width="12.86"/>
    <col collapsed="false" customWidth="true" hidden="false" outlineLevel="0" max="2312" min="2312" style="136" width="0.86"/>
    <col collapsed="false" customWidth="true" hidden="false" outlineLevel="0" max="2313" min="2313" style="136" width="12.86"/>
    <col collapsed="false" customWidth="true" hidden="false" outlineLevel="0" max="2314" min="2314" style="136" width="2.86"/>
    <col collapsed="false" customWidth="true" hidden="false" outlineLevel="0" max="2316" min="2315" style="136" width="13.86"/>
    <col collapsed="false" customWidth="true" hidden="false" outlineLevel="0" max="2317" min="2317" style="136" width="10.42"/>
    <col collapsed="false" customWidth="false" hidden="false" outlineLevel="0" max="2318" min="2318" style="136" width="7.57"/>
    <col collapsed="false" customWidth="true" hidden="false" outlineLevel="0" max="2319" min="2319" style="136" width="12.42"/>
    <col collapsed="false" customWidth="false" hidden="false" outlineLevel="0" max="2560" min="2320" style="136" width="7.57"/>
    <col collapsed="false" customWidth="true" hidden="false" outlineLevel="0" max="2565" min="2561" style="136" width="1.14"/>
    <col collapsed="false" customWidth="true" hidden="false" outlineLevel="0" max="2566" min="2566" style="136" width="50.29"/>
    <col collapsed="false" customWidth="true" hidden="false" outlineLevel="0" max="2567" min="2567" style="136" width="12.86"/>
    <col collapsed="false" customWidth="true" hidden="false" outlineLevel="0" max="2568" min="2568" style="136" width="0.86"/>
    <col collapsed="false" customWidth="true" hidden="false" outlineLevel="0" max="2569" min="2569" style="136" width="12.86"/>
    <col collapsed="false" customWidth="true" hidden="false" outlineLevel="0" max="2570" min="2570" style="136" width="2.86"/>
    <col collapsed="false" customWidth="true" hidden="false" outlineLevel="0" max="2572" min="2571" style="136" width="13.86"/>
    <col collapsed="false" customWidth="true" hidden="false" outlineLevel="0" max="2573" min="2573" style="136" width="10.42"/>
    <col collapsed="false" customWidth="false" hidden="false" outlineLevel="0" max="2574" min="2574" style="136" width="7.57"/>
    <col collapsed="false" customWidth="true" hidden="false" outlineLevel="0" max="2575" min="2575" style="136" width="12.42"/>
    <col collapsed="false" customWidth="false" hidden="false" outlineLevel="0" max="2816" min="2576" style="136" width="7.57"/>
    <col collapsed="false" customWidth="true" hidden="false" outlineLevel="0" max="2821" min="2817" style="136" width="1.14"/>
    <col collapsed="false" customWidth="true" hidden="false" outlineLevel="0" max="2822" min="2822" style="136" width="50.29"/>
    <col collapsed="false" customWidth="true" hidden="false" outlineLevel="0" max="2823" min="2823" style="136" width="12.86"/>
    <col collapsed="false" customWidth="true" hidden="false" outlineLevel="0" max="2824" min="2824" style="136" width="0.86"/>
    <col collapsed="false" customWidth="true" hidden="false" outlineLevel="0" max="2825" min="2825" style="136" width="12.86"/>
    <col collapsed="false" customWidth="true" hidden="false" outlineLevel="0" max="2826" min="2826" style="136" width="2.86"/>
    <col collapsed="false" customWidth="true" hidden="false" outlineLevel="0" max="2828" min="2827" style="136" width="13.86"/>
    <col collapsed="false" customWidth="true" hidden="false" outlineLevel="0" max="2829" min="2829" style="136" width="10.42"/>
    <col collapsed="false" customWidth="false" hidden="false" outlineLevel="0" max="2830" min="2830" style="136" width="7.57"/>
    <col collapsed="false" customWidth="true" hidden="false" outlineLevel="0" max="2831" min="2831" style="136" width="12.42"/>
    <col collapsed="false" customWidth="false" hidden="false" outlineLevel="0" max="3072" min="2832" style="136" width="7.57"/>
    <col collapsed="false" customWidth="true" hidden="false" outlineLevel="0" max="3077" min="3073" style="136" width="1.14"/>
    <col collapsed="false" customWidth="true" hidden="false" outlineLevel="0" max="3078" min="3078" style="136" width="50.29"/>
    <col collapsed="false" customWidth="true" hidden="false" outlineLevel="0" max="3079" min="3079" style="136" width="12.86"/>
    <col collapsed="false" customWidth="true" hidden="false" outlineLevel="0" max="3080" min="3080" style="136" width="0.86"/>
    <col collapsed="false" customWidth="true" hidden="false" outlineLevel="0" max="3081" min="3081" style="136" width="12.86"/>
    <col collapsed="false" customWidth="true" hidden="false" outlineLevel="0" max="3082" min="3082" style="136" width="2.86"/>
    <col collapsed="false" customWidth="true" hidden="false" outlineLevel="0" max="3084" min="3083" style="136" width="13.86"/>
    <col collapsed="false" customWidth="true" hidden="false" outlineLevel="0" max="3085" min="3085" style="136" width="10.42"/>
    <col collapsed="false" customWidth="false" hidden="false" outlineLevel="0" max="3086" min="3086" style="136" width="7.57"/>
    <col collapsed="false" customWidth="true" hidden="false" outlineLevel="0" max="3087" min="3087" style="136" width="12.42"/>
    <col collapsed="false" customWidth="false" hidden="false" outlineLevel="0" max="3328" min="3088" style="136" width="7.57"/>
    <col collapsed="false" customWidth="true" hidden="false" outlineLevel="0" max="3333" min="3329" style="136" width="1.14"/>
    <col collapsed="false" customWidth="true" hidden="false" outlineLevel="0" max="3334" min="3334" style="136" width="50.29"/>
    <col collapsed="false" customWidth="true" hidden="false" outlineLevel="0" max="3335" min="3335" style="136" width="12.86"/>
    <col collapsed="false" customWidth="true" hidden="false" outlineLevel="0" max="3336" min="3336" style="136" width="0.86"/>
    <col collapsed="false" customWidth="true" hidden="false" outlineLevel="0" max="3337" min="3337" style="136" width="12.86"/>
    <col collapsed="false" customWidth="true" hidden="false" outlineLevel="0" max="3338" min="3338" style="136" width="2.86"/>
    <col collapsed="false" customWidth="true" hidden="false" outlineLevel="0" max="3340" min="3339" style="136" width="13.86"/>
    <col collapsed="false" customWidth="true" hidden="false" outlineLevel="0" max="3341" min="3341" style="136" width="10.42"/>
    <col collapsed="false" customWidth="false" hidden="false" outlineLevel="0" max="3342" min="3342" style="136" width="7.57"/>
    <col collapsed="false" customWidth="true" hidden="false" outlineLevel="0" max="3343" min="3343" style="136" width="12.42"/>
    <col collapsed="false" customWidth="false" hidden="false" outlineLevel="0" max="3584" min="3344" style="136" width="7.57"/>
    <col collapsed="false" customWidth="true" hidden="false" outlineLevel="0" max="3589" min="3585" style="136" width="1.14"/>
    <col collapsed="false" customWidth="true" hidden="false" outlineLevel="0" max="3590" min="3590" style="136" width="50.29"/>
    <col collapsed="false" customWidth="true" hidden="false" outlineLevel="0" max="3591" min="3591" style="136" width="12.86"/>
    <col collapsed="false" customWidth="true" hidden="false" outlineLevel="0" max="3592" min="3592" style="136" width="0.86"/>
    <col collapsed="false" customWidth="true" hidden="false" outlineLevel="0" max="3593" min="3593" style="136" width="12.86"/>
    <col collapsed="false" customWidth="true" hidden="false" outlineLevel="0" max="3594" min="3594" style="136" width="2.86"/>
    <col collapsed="false" customWidth="true" hidden="false" outlineLevel="0" max="3596" min="3595" style="136" width="13.86"/>
    <col collapsed="false" customWidth="true" hidden="false" outlineLevel="0" max="3597" min="3597" style="136" width="10.42"/>
    <col collapsed="false" customWidth="false" hidden="false" outlineLevel="0" max="3598" min="3598" style="136" width="7.57"/>
    <col collapsed="false" customWidth="true" hidden="false" outlineLevel="0" max="3599" min="3599" style="136" width="12.42"/>
    <col collapsed="false" customWidth="false" hidden="false" outlineLevel="0" max="3840" min="3600" style="136" width="7.57"/>
    <col collapsed="false" customWidth="true" hidden="false" outlineLevel="0" max="3845" min="3841" style="136" width="1.14"/>
    <col collapsed="false" customWidth="true" hidden="false" outlineLevel="0" max="3846" min="3846" style="136" width="50.29"/>
    <col collapsed="false" customWidth="true" hidden="false" outlineLevel="0" max="3847" min="3847" style="136" width="12.86"/>
    <col collapsed="false" customWidth="true" hidden="false" outlineLevel="0" max="3848" min="3848" style="136" width="0.86"/>
    <col collapsed="false" customWidth="true" hidden="false" outlineLevel="0" max="3849" min="3849" style="136" width="12.86"/>
    <col collapsed="false" customWidth="true" hidden="false" outlineLevel="0" max="3850" min="3850" style="136" width="2.86"/>
    <col collapsed="false" customWidth="true" hidden="false" outlineLevel="0" max="3852" min="3851" style="136" width="13.86"/>
    <col collapsed="false" customWidth="true" hidden="false" outlineLevel="0" max="3853" min="3853" style="136" width="10.42"/>
    <col collapsed="false" customWidth="false" hidden="false" outlineLevel="0" max="3854" min="3854" style="136" width="7.57"/>
    <col collapsed="false" customWidth="true" hidden="false" outlineLevel="0" max="3855" min="3855" style="136" width="12.42"/>
    <col collapsed="false" customWidth="false" hidden="false" outlineLevel="0" max="4096" min="3856" style="136" width="7.57"/>
    <col collapsed="false" customWidth="true" hidden="false" outlineLevel="0" max="4101" min="4097" style="136" width="1.14"/>
    <col collapsed="false" customWidth="true" hidden="false" outlineLevel="0" max="4102" min="4102" style="136" width="50.29"/>
    <col collapsed="false" customWidth="true" hidden="false" outlineLevel="0" max="4103" min="4103" style="136" width="12.86"/>
    <col collapsed="false" customWidth="true" hidden="false" outlineLevel="0" max="4104" min="4104" style="136" width="0.86"/>
    <col collapsed="false" customWidth="true" hidden="false" outlineLevel="0" max="4105" min="4105" style="136" width="12.86"/>
    <col collapsed="false" customWidth="true" hidden="false" outlineLevel="0" max="4106" min="4106" style="136" width="2.86"/>
    <col collapsed="false" customWidth="true" hidden="false" outlineLevel="0" max="4108" min="4107" style="136" width="13.86"/>
    <col collapsed="false" customWidth="true" hidden="false" outlineLevel="0" max="4109" min="4109" style="136" width="10.42"/>
    <col collapsed="false" customWidth="false" hidden="false" outlineLevel="0" max="4110" min="4110" style="136" width="7.57"/>
    <col collapsed="false" customWidth="true" hidden="false" outlineLevel="0" max="4111" min="4111" style="136" width="12.42"/>
    <col collapsed="false" customWidth="false" hidden="false" outlineLevel="0" max="4352" min="4112" style="136" width="7.57"/>
    <col collapsed="false" customWidth="true" hidden="false" outlineLevel="0" max="4357" min="4353" style="136" width="1.14"/>
    <col collapsed="false" customWidth="true" hidden="false" outlineLevel="0" max="4358" min="4358" style="136" width="50.29"/>
    <col collapsed="false" customWidth="true" hidden="false" outlineLevel="0" max="4359" min="4359" style="136" width="12.86"/>
    <col collapsed="false" customWidth="true" hidden="false" outlineLevel="0" max="4360" min="4360" style="136" width="0.86"/>
    <col collapsed="false" customWidth="true" hidden="false" outlineLevel="0" max="4361" min="4361" style="136" width="12.86"/>
    <col collapsed="false" customWidth="true" hidden="false" outlineLevel="0" max="4362" min="4362" style="136" width="2.86"/>
    <col collapsed="false" customWidth="true" hidden="false" outlineLevel="0" max="4364" min="4363" style="136" width="13.86"/>
    <col collapsed="false" customWidth="true" hidden="false" outlineLevel="0" max="4365" min="4365" style="136" width="10.42"/>
    <col collapsed="false" customWidth="false" hidden="false" outlineLevel="0" max="4366" min="4366" style="136" width="7.57"/>
    <col collapsed="false" customWidth="true" hidden="false" outlineLevel="0" max="4367" min="4367" style="136" width="12.42"/>
    <col collapsed="false" customWidth="false" hidden="false" outlineLevel="0" max="4608" min="4368" style="136" width="7.57"/>
    <col collapsed="false" customWidth="true" hidden="false" outlineLevel="0" max="4613" min="4609" style="136" width="1.14"/>
    <col collapsed="false" customWidth="true" hidden="false" outlineLevel="0" max="4614" min="4614" style="136" width="50.29"/>
    <col collapsed="false" customWidth="true" hidden="false" outlineLevel="0" max="4615" min="4615" style="136" width="12.86"/>
    <col collapsed="false" customWidth="true" hidden="false" outlineLevel="0" max="4616" min="4616" style="136" width="0.86"/>
    <col collapsed="false" customWidth="true" hidden="false" outlineLevel="0" max="4617" min="4617" style="136" width="12.86"/>
    <col collapsed="false" customWidth="true" hidden="false" outlineLevel="0" max="4618" min="4618" style="136" width="2.86"/>
    <col collapsed="false" customWidth="true" hidden="false" outlineLevel="0" max="4620" min="4619" style="136" width="13.86"/>
    <col collapsed="false" customWidth="true" hidden="false" outlineLevel="0" max="4621" min="4621" style="136" width="10.42"/>
    <col collapsed="false" customWidth="false" hidden="false" outlineLevel="0" max="4622" min="4622" style="136" width="7.57"/>
    <col collapsed="false" customWidth="true" hidden="false" outlineLevel="0" max="4623" min="4623" style="136" width="12.42"/>
    <col collapsed="false" customWidth="false" hidden="false" outlineLevel="0" max="4864" min="4624" style="136" width="7.57"/>
    <col collapsed="false" customWidth="true" hidden="false" outlineLevel="0" max="4869" min="4865" style="136" width="1.14"/>
    <col collapsed="false" customWidth="true" hidden="false" outlineLevel="0" max="4870" min="4870" style="136" width="50.29"/>
    <col collapsed="false" customWidth="true" hidden="false" outlineLevel="0" max="4871" min="4871" style="136" width="12.86"/>
    <col collapsed="false" customWidth="true" hidden="false" outlineLevel="0" max="4872" min="4872" style="136" width="0.86"/>
    <col collapsed="false" customWidth="true" hidden="false" outlineLevel="0" max="4873" min="4873" style="136" width="12.86"/>
    <col collapsed="false" customWidth="true" hidden="false" outlineLevel="0" max="4874" min="4874" style="136" width="2.86"/>
    <col collapsed="false" customWidth="true" hidden="false" outlineLevel="0" max="4876" min="4875" style="136" width="13.86"/>
    <col collapsed="false" customWidth="true" hidden="false" outlineLevel="0" max="4877" min="4877" style="136" width="10.42"/>
    <col collapsed="false" customWidth="false" hidden="false" outlineLevel="0" max="4878" min="4878" style="136" width="7.57"/>
    <col collapsed="false" customWidth="true" hidden="false" outlineLevel="0" max="4879" min="4879" style="136" width="12.42"/>
    <col collapsed="false" customWidth="false" hidden="false" outlineLevel="0" max="5120" min="4880" style="136" width="7.57"/>
    <col collapsed="false" customWidth="true" hidden="false" outlineLevel="0" max="5125" min="5121" style="136" width="1.14"/>
    <col collapsed="false" customWidth="true" hidden="false" outlineLevel="0" max="5126" min="5126" style="136" width="50.29"/>
    <col collapsed="false" customWidth="true" hidden="false" outlineLevel="0" max="5127" min="5127" style="136" width="12.86"/>
    <col collapsed="false" customWidth="true" hidden="false" outlineLevel="0" max="5128" min="5128" style="136" width="0.86"/>
    <col collapsed="false" customWidth="true" hidden="false" outlineLevel="0" max="5129" min="5129" style="136" width="12.86"/>
    <col collapsed="false" customWidth="true" hidden="false" outlineLevel="0" max="5130" min="5130" style="136" width="2.86"/>
    <col collapsed="false" customWidth="true" hidden="false" outlineLevel="0" max="5132" min="5131" style="136" width="13.86"/>
    <col collapsed="false" customWidth="true" hidden="false" outlineLevel="0" max="5133" min="5133" style="136" width="10.42"/>
    <col collapsed="false" customWidth="false" hidden="false" outlineLevel="0" max="5134" min="5134" style="136" width="7.57"/>
    <col collapsed="false" customWidth="true" hidden="false" outlineLevel="0" max="5135" min="5135" style="136" width="12.42"/>
    <col collapsed="false" customWidth="false" hidden="false" outlineLevel="0" max="5376" min="5136" style="136" width="7.57"/>
    <col collapsed="false" customWidth="true" hidden="false" outlineLevel="0" max="5381" min="5377" style="136" width="1.14"/>
    <col collapsed="false" customWidth="true" hidden="false" outlineLevel="0" max="5382" min="5382" style="136" width="50.29"/>
    <col collapsed="false" customWidth="true" hidden="false" outlineLevel="0" max="5383" min="5383" style="136" width="12.86"/>
    <col collapsed="false" customWidth="true" hidden="false" outlineLevel="0" max="5384" min="5384" style="136" width="0.86"/>
    <col collapsed="false" customWidth="true" hidden="false" outlineLevel="0" max="5385" min="5385" style="136" width="12.86"/>
    <col collapsed="false" customWidth="true" hidden="false" outlineLevel="0" max="5386" min="5386" style="136" width="2.86"/>
    <col collapsed="false" customWidth="true" hidden="false" outlineLevel="0" max="5388" min="5387" style="136" width="13.86"/>
    <col collapsed="false" customWidth="true" hidden="false" outlineLevel="0" max="5389" min="5389" style="136" width="10.42"/>
    <col collapsed="false" customWidth="false" hidden="false" outlineLevel="0" max="5390" min="5390" style="136" width="7.57"/>
    <col collapsed="false" customWidth="true" hidden="false" outlineLevel="0" max="5391" min="5391" style="136" width="12.42"/>
    <col collapsed="false" customWidth="false" hidden="false" outlineLevel="0" max="5632" min="5392" style="136" width="7.57"/>
    <col collapsed="false" customWidth="true" hidden="false" outlineLevel="0" max="5637" min="5633" style="136" width="1.14"/>
    <col collapsed="false" customWidth="true" hidden="false" outlineLevel="0" max="5638" min="5638" style="136" width="50.29"/>
    <col collapsed="false" customWidth="true" hidden="false" outlineLevel="0" max="5639" min="5639" style="136" width="12.86"/>
    <col collapsed="false" customWidth="true" hidden="false" outlineLevel="0" max="5640" min="5640" style="136" width="0.86"/>
    <col collapsed="false" customWidth="true" hidden="false" outlineLevel="0" max="5641" min="5641" style="136" width="12.86"/>
    <col collapsed="false" customWidth="true" hidden="false" outlineLevel="0" max="5642" min="5642" style="136" width="2.86"/>
    <col collapsed="false" customWidth="true" hidden="false" outlineLevel="0" max="5644" min="5643" style="136" width="13.86"/>
    <col collapsed="false" customWidth="true" hidden="false" outlineLevel="0" max="5645" min="5645" style="136" width="10.42"/>
    <col collapsed="false" customWidth="false" hidden="false" outlineLevel="0" max="5646" min="5646" style="136" width="7.57"/>
    <col collapsed="false" customWidth="true" hidden="false" outlineLevel="0" max="5647" min="5647" style="136" width="12.42"/>
    <col collapsed="false" customWidth="false" hidden="false" outlineLevel="0" max="5888" min="5648" style="136" width="7.57"/>
    <col collapsed="false" customWidth="true" hidden="false" outlineLevel="0" max="5893" min="5889" style="136" width="1.14"/>
    <col collapsed="false" customWidth="true" hidden="false" outlineLevel="0" max="5894" min="5894" style="136" width="50.29"/>
    <col collapsed="false" customWidth="true" hidden="false" outlineLevel="0" max="5895" min="5895" style="136" width="12.86"/>
    <col collapsed="false" customWidth="true" hidden="false" outlineLevel="0" max="5896" min="5896" style="136" width="0.86"/>
    <col collapsed="false" customWidth="true" hidden="false" outlineLevel="0" max="5897" min="5897" style="136" width="12.86"/>
    <col collapsed="false" customWidth="true" hidden="false" outlineLevel="0" max="5898" min="5898" style="136" width="2.86"/>
    <col collapsed="false" customWidth="true" hidden="false" outlineLevel="0" max="5900" min="5899" style="136" width="13.86"/>
    <col collapsed="false" customWidth="true" hidden="false" outlineLevel="0" max="5901" min="5901" style="136" width="10.42"/>
    <col collapsed="false" customWidth="false" hidden="false" outlineLevel="0" max="5902" min="5902" style="136" width="7.57"/>
    <col collapsed="false" customWidth="true" hidden="false" outlineLevel="0" max="5903" min="5903" style="136" width="12.42"/>
    <col collapsed="false" customWidth="false" hidden="false" outlineLevel="0" max="6144" min="5904" style="136" width="7.57"/>
    <col collapsed="false" customWidth="true" hidden="false" outlineLevel="0" max="6149" min="6145" style="136" width="1.14"/>
    <col collapsed="false" customWidth="true" hidden="false" outlineLevel="0" max="6150" min="6150" style="136" width="50.29"/>
    <col collapsed="false" customWidth="true" hidden="false" outlineLevel="0" max="6151" min="6151" style="136" width="12.86"/>
    <col collapsed="false" customWidth="true" hidden="false" outlineLevel="0" max="6152" min="6152" style="136" width="0.86"/>
    <col collapsed="false" customWidth="true" hidden="false" outlineLevel="0" max="6153" min="6153" style="136" width="12.86"/>
    <col collapsed="false" customWidth="true" hidden="false" outlineLevel="0" max="6154" min="6154" style="136" width="2.86"/>
    <col collapsed="false" customWidth="true" hidden="false" outlineLevel="0" max="6156" min="6155" style="136" width="13.86"/>
    <col collapsed="false" customWidth="true" hidden="false" outlineLevel="0" max="6157" min="6157" style="136" width="10.42"/>
    <col collapsed="false" customWidth="false" hidden="false" outlineLevel="0" max="6158" min="6158" style="136" width="7.57"/>
    <col collapsed="false" customWidth="true" hidden="false" outlineLevel="0" max="6159" min="6159" style="136" width="12.42"/>
    <col collapsed="false" customWidth="false" hidden="false" outlineLevel="0" max="6400" min="6160" style="136" width="7.57"/>
    <col collapsed="false" customWidth="true" hidden="false" outlineLevel="0" max="6405" min="6401" style="136" width="1.14"/>
    <col collapsed="false" customWidth="true" hidden="false" outlineLevel="0" max="6406" min="6406" style="136" width="50.29"/>
    <col collapsed="false" customWidth="true" hidden="false" outlineLevel="0" max="6407" min="6407" style="136" width="12.86"/>
    <col collapsed="false" customWidth="true" hidden="false" outlineLevel="0" max="6408" min="6408" style="136" width="0.86"/>
    <col collapsed="false" customWidth="true" hidden="false" outlineLevel="0" max="6409" min="6409" style="136" width="12.86"/>
    <col collapsed="false" customWidth="true" hidden="false" outlineLevel="0" max="6410" min="6410" style="136" width="2.86"/>
    <col collapsed="false" customWidth="true" hidden="false" outlineLevel="0" max="6412" min="6411" style="136" width="13.86"/>
    <col collapsed="false" customWidth="true" hidden="false" outlineLevel="0" max="6413" min="6413" style="136" width="10.42"/>
    <col collapsed="false" customWidth="false" hidden="false" outlineLevel="0" max="6414" min="6414" style="136" width="7.57"/>
    <col collapsed="false" customWidth="true" hidden="false" outlineLevel="0" max="6415" min="6415" style="136" width="12.42"/>
    <col collapsed="false" customWidth="false" hidden="false" outlineLevel="0" max="6656" min="6416" style="136" width="7.57"/>
    <col collapsed="false" customWidth="true" hidden="false" outlineLevel="0" max="6661" min="6657" style="136" width="1.14"/>
    <col collapsed="false" customWidth="true" hidden="false" outlineLevel="0" max="6662" min="6662" style="136" width="50.29"/>
    <col collapsed="false" customWidth="true" hidden="false" outlineLevel="0" max="6663" min="6663" style="136" width="12.86"/>
    <col collapsed="false" customWidth="true" hidden="false" outlineLevel="0" max="6664" min="6664" style="136" width="0.86"/>
    <col collapsed="false" customWidth="true" hidden="false" outlineLevel="0" max="6665" min="6665" style="136" width="12.86"/>
    <col collapsed="false" customWidth="true" hidden="false" outlineLevel="0" max="6666" min="6666" style="136" width="2.86"/>
    <col collapsed="false" customWidth="true" hidden="false" outlineLevel="0" max="6668" min="6667" style="136" width="13.86"/>
    <col collapsed="false" customWidth="true" hidden="false" outlineLevel="0" max="6669" min="6669" style="136" width="10.42"/>
    <col collapsed="false" customWidth="false" hidden="false" outlineLevel="0" max="6670" min="6670" style="136" width="7.57"/>
    <col collapsed="false" customWidth="true" hidden="false" outlineLevel="0" max="6671" min="6671" style="136" width="12.42"/>
    <col collapsed="false" customWidth="false" hidden="false" outlineLevel="0" max="6912" min="6672" style="136" width="7.57"/>
    <col collapsed="false" customWidth="true" hidden="false" outlineLevel="0" max="6917" min="6913" style="136" width="1.14"/>
    <col collapsed="false" customWidth="true" hidden="false" outlineLevel="0" max="6918" min="6918" style="136" width="50.29"/>
    <col collapsed="false" customWidth="true" hidden="false" outlineLevel="0" max="6919" min="6919" style="136" width="12.86"/>
    <col collapsed="false" customWidth="true" hidden="false" outlineLevel="0" max="6920" min="6920" style="136" width="0.86"/>
    <col collapsed="false" customWidth="true" hidden="false" outlineLevel="0" max="6921" min="6921" style="136" width="12.86"/>
    <col collapsed="false" customWidth="true" hidden="false" outlineLevel="0" max="6922" min="6922" style="136" width="2.86"/>
    <col collapsed="false" customWidth="true" hidden="false" outlineLevel="0" max="6924" min="6923" style="136" width="13.86"/>
    <col collapsed="false" customWidth="true" hidden="false" outlineLevel="0" max="6925" min="6925" style="136" width="10.42"/>
    <col collapsed="false" customWidth="false" hidden="false" outlineLevel="0" max="6926" min="6926" style="136" width="7.57"/>
    <col collapsed="false" customWidth="true" hidden="false" outlineLevel="0" max="6927" min="6927" style="136" width="12.42"/>
    <col collapsed="false" customWidth="false" hidden="false" outlineLevel="0" max="7168" min="6928" style="136" width="7.57"/>
    <col collapsed="false" customWidth="true" hidden="false" outlineLevel="0" max="7173" min="7169" style="136" width="1.14"/>
    <col collapsed="false" customWidth="true" hidden="false" outlineLevel="0" max="7174" min="7174" style="136" width="50.29"/>
    <col collapsed="false" customWidth="true" hidden="false" outlineLevel="0" max="7175" min="7175" style="136" width="12.86"/>
    <col collapsed="false" customWidth="true" hidden="false" outlineLevel="0" max="7176" min="7176" style="136" width="0.86"/>
    <col collapsed="false" customWidth="true" hidden="false" outlineLevel="0" max="7177" min="7177" style="136" width="12.86"/>
    <col collapsed="false" customWidth="true" hidden="false" outlineLevel="0" max="7178" min="7178" style="136" width="2.86"/>
    <col collapsed="false" customWidth="true" hidden="false" outlineLevel="0" max="7180" min="7179" style="136" width="13.86"/>
    <col collapsed="false" customWidth="true" hidden="false" outlineLevel="0" max="7181" min="7181" style="136" width="10.42"/>
    <col collapsed="false" customWidth="false" hidden="false" outlineLevel="0" max="7182" min="7182" style="136" width="7.57"/>
    <col collapsed="false" customWidth="true" hidden="false" outlineLevel="0" max="7183" min="7183" style="136" width="12.42"/>
    <col collapsed="false" customWidth="false" hidden="false" outlineLevel="0" max="7424" min="7184" style="136" width="7.57"/>
    <col collapsed="false" customWidth="true" hidden="false" outlineLevel="0" max="7429" min="7425" style="136" width="1.14"/>
    <col collapsed="false" customWidth="true" hidden="false" outlineLevel="0" max="7430" min="7430" style="136" width="50.29"/>
    <col collapsed="false" customWidth="true" hidden="false" outlineLevel="0" max="7431" min="7431" style="136" width="12.86"/>
    <col collapsed="false" customWidth="true" hidden="false" outlineLevel="0" max="7432" min="7432" style="136" width="0.86"/>
    <col collapsed="false" customWidth="true" hidden="false" outlineLevel="0" max="7433" min="7433" style="136" width="12.86"/>
    <col collapsed="false" customWidth="true" hidden="false" outlineLevel="0" max="7434" min="7434" style="136" width="2.86"/>
    <col collapsed="false" customWidth="true" hidden="false" outlineLevel="0" max="7436" min="7435" style="136" width="13.86"/>
    <col collapsed="false" customWidth="true" hidden="false" outlineLevel="0" max="7437" min="7437" style="136" width="10.42"/>
    <col collapsed="false" customWidth="false" hidden="false" outlineLevel="0" max="7438" min="7438" style="136" width="7.57"/>
    <col collapsed="false" customWidth="true" hidden="false" outlineLevel="0" max="7439" min="7439" style="136" width="12.42"/>
    <col collapsed="false" customWidth="false" hidden="false" outlineLevel="0" max="7680" min="7440" style="136" width="7.57"/>
    <col collapsed="false" customWidth="true" hidden="false" outlineLevel="0" max="7685" min="7681" style="136" width="1.14"/>
    <col collapsed="false" customWidth="true" hidden="false" outlineLevel="0" max="7686" min="7686" style="136" width="50.29"/>
    <col collapsed="false" customWidth="true" hidden="false" outlineLevel="0" max="7687" min="7687" style="136" width="12.86"/>
    <col collapsed="false" customWidth="true" hidden="false" outlineLevel="0" max="7688" min="7688" style="136" width="0.86"/>
    <col collapsed="false" customWidth="true" hidden="false" outlineLevel="0" max="7689" min="7689" style="136" width="12.86"/>
    <col collapsed="false" customWidth="true" hidden="false" outlineLevel="0" max="7690" min="7690" style="136" width="2.86"/>
    <col collapsed="false" customWidth="true" hidden="false" outlineLevel="0" max="7692" min="7691" style="136" width="13.86"/>
    <col collapsed="false" customWidth="true" hidden="false" outlineLevel="0" max="7693" min="7693" style="136" width="10.42"/>
    <col collapsed="false" customWidth="false" hidden="false" outlineLevel="0" max="7694" min="7694" style="136" width="7.57"/>
    <col collapsed="false" customWidth="true" hidden="false" outlineLevel="0" max="7695" min="7695" style="136" width="12.42"/>
    <col collapsed="false" customWidth="false" hidden="false" outlineLevel="0" max="7936" min="7696" style="136" width="7.57"/>
    <col collapsed="false" customWidth="true" hidden="false" outlineLevel="0" max="7941" min="7937" style="136" width="1.14"/>
    <col collapsed="false" customWidth="true" hidden="false" outlineLevel="0" max="7942" min="7942" style="136" width="50.29"/>
    <col collapsed="false" customWidth="true" hidden="false" outlineLevel="0" max="7943" min="7943" style="136" width="12.86"/>
    <col collapsed="false" customWidth="true" hidden="false" outlineLevel="0" max="7944" min="7944" style="136" width="0.86"/>
    <col collapsed="false" customWidth="true" hidden="false" outlineLevel="0" max="7945" min="7945" style="136" width="12.86"/>
    <col collapsed="false" customWidth="true" hidden="false" outlineLevel="0" max="7946" min="7946" style="136" width="2.86"/>
    <col collapsed="false" customWidth="true" hidden="false" outlineLevel="0" max="7948" min="7947" style="136" width="13.86"/>
    <col collapsed="false" customWidth="true" hidden="false" outlineLevel="0" max="7949" min="7949" style="136" width="10.42"/>
    <col collapsed="false" customWidth="false" hidden="false" outlineLevel="0" max="7950" min="7950" style="136" width="7.57"/>
    <col collapsed="false" customWidth="true" hidden="false" outlineLevel="0" max="7951" min="7951" style="136" width="12.42"/>
    <col collapsed="false" customWidth="false" hidden="false" outlineLevel="0" max="8192" min="7952" style="136" width="7.57"/>
    <col collapsed="false" customWidth="true" hidden="false" outlineLevel="0" max="8197" min="8193" style="136" width="1.14"/>
    <col collapsed="false" customWidth="true" hidden="false" outlineLevel="0" max="8198" min="8198" style="136" width="50.29"/>
    <col collapsed="false" customWidth="true" hidden="false" outlineLevel="0" max="8199" min="8199" style="136" width="12.86"/>
    <col collapsed="false" customWidth="true" hidden="false" outlineLevel="0" max="8200" min="8200" style="136" width="0.86"/>
    <col collapsed="false" customWidth="true" hidden="false" outlineLevel="0" max="8201" min="8201" style="136" width="12.86"/>
    <col collapsed="false" customWidth="true" hidden="false" outlineLevel="0" max="8202" min="8202" style="136" width="2.86"/>
    <col collapsed="false" customWidth="true" hidden="false" outlineLevel="0" max="8204" min="8203" style="136" width="13.86"/>
    <col collapsed="false" customWidth="true" hidden="false" outlineLevel="0" max="8205" min="8205" style="136" width="10.42"/>
    <col collapsed="false" customWidth="false" hidden="false" outlineLevel="0" max="8206" min="8206" style="136" width="7.57"/>
    <col collapsed="false" customWidth="true" hidden="false" outlineLevel="0" max="8207" min="8207" style="136" width="12.42"/>
    <col collapsed="false" customWidth="false" hidden="false" outlineLevel="0" max="8448" min="8208" style="136" width="7.57"/>
    <col collapsed="false" customWidth="true" hidden="false" outlineLevel="0" max="8453" min="8449" style="136" width="1.14"/>
    <col collapsed="false" customWidth="true" hidden="false" outlineLevel="0" max="8454" min="8454" style="136" width="50.29"/>
    <col collapsed="false" customWidth="true" hidden="false" outlineLevel="0" max="8455" min="8455" style="136" width="12.86"/>
    <col collapsed="false" customWidth="true" hidden="false" outlineLevel="0" max="8456" min="8456" style="136" width="0.86"/>
    <col collapsed="false" customWidth="true" hidden="false" outlineLevel="0" max="8457" min="8457" style="136" width="12.86"/>
    <col collapsed="false" customWidth="true" hidden="false" outlineLevel="0" max="8458" min="8458" style="136" width="2.86"/>
    <col collapsed="false" customWidth="true" hidden="false" outlineLevel="0" max="8460" min="8459" style="136" width="13.86"/>
    <col collapsed="false" customWidth="true" hidden="false" outlineLevel="0" max="8461" min="8461" style="136" width="10.42"/>
    <col collapsed="false" customWidth="false" hidden="false" outlineLevel="0" max="8462" min="8462" style="136" width="7.57"/>
    <col collapsed="false" customWidth="true" hidden="false" outlineLevel="0" max="8463" min="8463" style="136" width="12.42"/>
    <col collapsed="false" customWidth="false" hidden="false" outlineLevel="0" max="8704" min="8464" style="136" width="7.57"/>
    <col collapsed="false" customWidth="true" hidden="false" outlineLevel="0" max="8709" min="8705" style="136" width="1.14"/>
    <col collapsed="false" customWidth="true" hidden="false" outlineLevel="0" max="8710" min="8710" style="136" width="50.29"/>
    <col collapsed="false" customWidth="true" hidden="false" outlineLevel="0" max="8711" min="8711" style="136" width="12.86"/>
    <col collapsed="false" customWidth="true" hidden="false" outlineLevel="0" max="8712" min="8712" style="136" width="0.86"/>
    <col collapsed="false" customWidth="true" hidden="false" outlineLevel="0" max="8713" min="8713" style="136" width="12.86"/>
    <col collapsed="false" customWidth="true" hidden="false" outlineLevel="0" max="8714" min="8714" style="136" width="2.86"/>
    <col collapsed="false" customWidth="true" hidden="false" outlineLevel="0" max="8716" min="8715" style="136" width="13.86"/>
    <col collapsed="false" customWidth="true" hidden="false" outlineLevel="0" max="8717" min="8717" style="136" width="10.42"/>
    <col collapsed="false" customWidth="false" hidden="false" outlineLevel="0" max="8718" min="8718" style="136" width="7.57"/>
    <col collapsed="false" customWidth="true" hidden="false" outlineLevel="0" max="8719" min="8719" style="136" width="12.42"/>
    <col collapsed="false" customWidth="false" hidden="false" outlineLevel="0" max="8960" min="8720" style="136" width="7.57"/>
    <col collapsed="false" customWidth="true" hidden="false" outlineLevel="0" max="8965" min="8961" style="136" width="1.14"/>
    <col collapsed="false" customWidth="true" hidden="false" outlineLevel="0" max="8966" min="8966" style="136" width="50.29"/>
    <col collapsed="false" customWidth="true" hidden="false" outlineLevel="0" max="8967" min="8967" style="136" width="12.86"/>
    <col collapsed="false" customWidth="true" hidden="false" outlineLevel="0" max="8968" min="8968" style="136" width="0.86"/>
    <col collapsed="false" customWidth="true" hidden="false" outlineLevel="0" max="8969" min="8969" style="136" width="12.86"/>
    <col collapsed="false" customWidth="true" hidden="false" outlineLevel="0" max="8970" min="8970" style="136" width="2.86"/>
    <col collapsed="false" customWidth="true" hidden="false" outlineLevel="0" max="8972" min="8971" style="136" width="13.86"/>
    <col collapsed="false" customWidth="true" hidden="false" outlineLevel="0" max="8973" min="8973" style="136" width="10.42"/>
    <col collapsed="false" customWidth="false" hidden="false" outlineLevel="0" max="8974" min="8974" style="136" width="7.57"/>
    <col collapsed="false" customWidth="true" hidden="false" outlineLevel="0" max="8975" min="8975" style="136" width="12.42"/>
    <col collapsed="false" customWidth="false" hidden="false" outlineLevel="0" max="9216" min="8976" style="136" width="7.57"/>
    <col collapsed="false" customWidth="true" hidden="false" outlineLevel="0" max="9221" min="9217" style="136" width="1.14"/>
    <col collapsed="false" customWidth="true" hidden="false" outlineLevel="0" max="9222" min="9222" style="136" width="50.29"/>
    <col collapsed="false" customWidth="true" hidden="false" outlineLevel="0" max="9223" min="9223" style="136" width="12.86"/>
    <col collapsed="false" customWidth="true" hidden="false" outlineLevel="0" max="9224" min="9224" style="136" width="0.86"/>
    <col collapsed="false" customWidth="true" hidden="false" outlineLevel="0" max="9225" min="9225" style="136" width="12.86"/>
    <col collapsed="false" customWidth="true" hidden="false" outlineLevel="0" max="9226" min="9226" style="136" width="2.86"/>
    <col collapsed="false" customWidth="true" hidden="false" outlineLevel="0" max="9228" min="9227" style="136" width="13.86"/>
    <col collapsed="false" customWidth="true" hidden="false" outlineLevel="0" max="9229" min="9229" style="136" width="10.42"/>
    <col collapsed="false" customWidth="false" hidden="false" outlineLevel="0" max="9230" min="9230" style="136" width="7.57"/>
    <col collapsed="false" customWidth="true" hidden="false" outlineLevel="0" max="9231" min="9231" style="136" width="12.42"/>
    <col collapsed="false" customWidth="false" hidden="false" outlineLevel="0" max="9472" min="9232" style="136" width="7.57"/>
    <col collapsed="false" customWidth="true" hidden="false" outlineLevel="0" max="9477" min="9473" style="136" width="1.14"/>
    <col collapsed="false" customWidth="true" hidden="false" outlineLevel="0" max="9478" min="9478" style="136" width="50.29"/>
    <col collapsed="false" customWidth="true" hidden="false" outlineLevel="0" max="9479" min="9479" style="136" width="12.86"/>
    <col collapsed="false" customWidth="true" hidden="false" outlineLevel="0" max="9480" min="9480" style="136" width="0.86"/>
    <col collapsed="false" customWidth="true" hidden="false" outlineLevel="0" max="9481" min="9481" style="136" width="12.86"/>
    <col collapsed="false" customWidth="true" hidden="false" outlineLevel="0" max="9482" min="9482" style="136" width="2.86"/>
    <col collapsed="false" customWidth="true" hidden="false" outlineLevel="0" max="9484" min="9483" style="136" width="13.86"/>
    <col collapsed="false" customWidth="true" hidden="false" outlineLevel="0" max="9485" min="9485" style="136" width="10.42"/>
    <col collapsed="false" customWidth="false" hidden="false" outlineLevel="0" max="9486" min="9486" style="136" width="7.57"/>
    <col collapsed="false" customWidth="true" hidden="false" outlineLevel="0" max="9487" min="9487" style="136" width="12.42"/>
    <col collapsed="false" customWidth="false" hidden="false" outlineLevel="0" max="9728" min="9488" style="136" width="7.57"/>
    <col collapsed="false" customWidth="true" hidden="false" outlineLevel="0" max="9733" min="9729" style="136" width="1.14"/>
    <col collapsed="false" customWidth="true" hidden="false" outlineLevel="0" max="9734" min="9734" style="136" width="50.29"/>
    <col collapsed="false" customWidth="true" hidden="false" outlineLevel="0" max="9735" min="9735" style="136" width="12.86"/>
    <col collapsed="false" customWidth="true" hidden="false" outlineLevel="0" max="9736" min="9736" style="136" width="0.86"/>
    <col collapsed="false" customWidth="true" hidden="false" outlineLevel="0" max="9737" min="9737" style="136" width="12.86"/>
    <col collapsed="false" customWidth="true" hidden="false" outlineLevel="0" max="9738" min="9738" style="136" width="2.86"/>
    <col collapsed="false" customWidth="true" hidden="false" outlineLevel="0" max="9740" min="9739" style="136" width="13.86"/>
    <col collapsed="false" customWidth="true" hidden="false" outlineLevel="0" max="9741" min="9741" style="136" width="10.42"/>
    <col collapsed="false" customWidth="false" hidden="false" outlineLevel="0" max="9742" min="9742" style="136" width="7.57"/>
    <col collapsed="false" customWidth="true" hidden="false" outlineLevel="0" max="9743" min="9743" style="136" width="12.42"/>
    <col collapsed="false" customWidth="false" hidden="false" outlineLevel="0" max="9984" min="9744" style="136" width="7.57"/>
    <col collapsed="false" customWidth="true" hidden="false" outlineLevel="0" max="9989" min="9985" style="136" width="1.14"/>
    <col collapsed="false" customWidth="true" hidden="false" outlineLevel="0" max="9990" min="9990" style="136" width="50.29"/>
    <col collapsed="false" customWidth="true" hidden="false" outlineLevel="0" max="9991" min="9991" style="136" width="12.86"/>
    <col collapsed="false" customWidth="true" hidden="false" outlineLevel="0" max="9992" min="9992" style="136" width="0.86"/>
    <col collapsed="false" customWidth="true" hidden="false" outlineLevel="0" max="9993" min="9993" style="136" width="12.86"/>
    <col collapsed="false" customWidth="true" hidden="false" outlineLevel="0" max="9994" min="9994" style="136" width="2.86"/>
    <col collapsed="false" customWidth="true" hidden="false" outlineLevel="0" max="9996" min="9995" style="136" width="13.86"/>
    <col collapsed="false" customWidth="true" hidden="false" outlineLevel="0" max="9997" min="9997" style="136" width="10.42"/>
    <col collapsed="false" customWidth="false" hidden="false" outlineLevel="0" max="9998" min="9998" style="136" width="7.57"/>
    <col collapsed="false" customWidth="true" hidden="false" outlineLevel="0" max="9999" min="9999" style="136" width="12.42"/>
    <col collapsed="false" customWidth="false" hidden="false" outlineLevel="0" max="10240" min="10000" style="136" width="7.57"/>
    <col collapsed="false" customWidth="true" hidden="false" outlineLevel="0" max="10245" min="10241" style="136" width="1.14"/>
    <col collapsed="false" customWidth="true" hidden="false" outlineLevel="0" max="10246" min="10246" style="136" width="50.29"/>
    <col collapsed="false" customWidth="true" hidden="false" outlineLevel="0" max="10247" min="10247" style="136" width="12.86"/>
    <col collapsed="false" customWidth="true" hidden="false" outlineLevel="0" max="10248" min="10248" style="136" width="0.86"/>
    <col collapsed="false" customWidth="true" hidden="false" outlineLevel="0" max="10249" min="10249" style="136" width="12.86"/>
    <col collapsed="false" customWidth="true" hidden="false" outlineLevel="0" max="10250" min="10250" style="136" width="2.86"/>
    <col collapsed="false" customWidth="true" hidden="false" outlineLevel="0" max="10252" min="10251" style="136" width="13.86"/>
    <col collapsed="false" customWidth="true" hidden="false" outlineLevel="0" max="10253" min="10253" style="136" width="10.42"/>
    <col collapsed="false" customWidth="false" hidden="false" outlineLevel="0" max="10254" min="10254" style="136" width="7.57"/>
    <col collapsed="false" customWidth="true" hidden="false" outlineLevel="0" max="10255" min="10255" style="136" width="12.42"/>
    <col collapsed="false" customWidth="false" hidden="false" outlineLevel="0" max="10496" min="10256" style="136" width="7.57"/>
    <col collapsed="false" customWidth="true" hidden="false" outlineLevel="0" max="10501" min="10497" style="136" width="1.14"/>
    <col collapsed="false" customWidth="true" hidden="false" outlineLevel="0" max="10502" min="10502" style="136" width="50.29"/>
    <col collapsed="false" customWidth="true" hidden="false" outlineLevel="0" max="10503" min="10503" style="136" width="12.86"/>
    <col collapsed="false" customWidth="true" hidden="false" outlineLevel="0" max="10504" min="10504" style="136" width="0.86"/>
    <col collapsed="false" customWidth="true" hidden="false" outlineLevel="0" max="10505" min="10505" style="136" width="12.86"/>
    <col collapsed="false" customWidth="true" hidden="false" outlineLevel="0" max="10506" min="10506" style="136" width="2.86"/>
    <col collapsed="false" customWidth="true" hidden="false" outlineLevel="0" max="10508" min="10507" style="136" width="13.86"/>
    <col collapsed="false" customWidth="true" hidden="false" outlineLevel="0" max="10509" min="10509" style="136" width="10.42"/>
    <col collapsed="false" customWidth="false" hidden="false" outlineLevel="0" max="10510" min="10510" style="136" width="7.57"/>
    <col collapsed="false" customWidth="true" hidden="false" outlineLevel="0" max="10511" min="10511" style="136" width="12.42"/>
    <col collapsed="false" customWidth="false" hidden="false" outlineLevel="0" max="10752" min="10512" style="136" width="7.57"/>
    <col collapsed="false" customWidth="true" hidden="false" outlineLevel="0" max="10757" min="10753" style="136" width="1.14"/>
    <col collapsed="false" customWidth="true" hidden="false" outlineLevel="0" max="10758" min="10758" style="136" width="50.29"/>
    <col collapsed="false" customWidth="true" hidden="false" outlineLevel="0" max="10759" min="10759" style="136" width="12.86"/>
    <col collapsed="false" customWidth="true" hidden="false" outlineLevel="0" max="10760" min="10760" style="136" width="0.86"/>
    <col collapsed="false" customWidth="true" hidden="false" outlineLevel="0" max="10761" min="10761" style="136" width="12.86"/>
    <col collapsed="false" customWidth="true" hidden="false" outlineLevel="0" max="10762" min="10762" style="136" width="2.86"/>
    <col collapsed="false" customWidth="true" hidden="false" outlineLevel="0" max="10764" min="10763" style="136" width="13.86"/>
    <col collapsed="false" customWidth="true" hidden="false" outlineLevel="0" max="10765" min="10765" style="136" width="10.42"/>
    <col collapsed="false" customWidth="false" hidden="false" outlineLevel="0" max="10766" min="10766" style="136" width="7.57"/>
    <col collapsed="false" customWidth="true" hidden="false" outlineLevel="0" max="10767" min="10767" style="136" width="12.42"/>
    <col collapsed="false" customWidth="false" hidden="false" outlineLevel="0" max="11008" min="10768" style="136" width="7.57"/>
    <col collapsed="false" customWidth="true" hidden="false" outlineLevel="0" max="11013" min="11009" style="136" width="1.14"/>
    <col collapsed="false" customWidth="true" hidden="false" outlineLevel="0" max="11014" min="11014" style="136" width="50.29"/>
    <col collapsed="false" customWidth="true" hidden="false" outlineLevel="0" max="11015" min="11015" style="136" width="12.86"/>
    <col collapsed="false" customWidth="true" hidden="false" outlineLevel="0" max="11016" min="11016" style="136" width="0.86"/>
    <col collapsed="false" customWidth="true" hidden="false" outlineLevel="0" max="11017" min="11017" style="136" width="12.86"/>
    <col collapsed="false" customWidth="true" hidden="false" outlineLevel="0" max="11018" min="11018" style="136" width="2.86"/>
    <col collapsed="false" customWidth="true" hidden="false" outlineLevel="0" max="11020" min="11019" style="136" width="13.86"/>
    <col collapsed="false" customWidth="true" hidden="false" outlineLevel="0" max="11021" min="11021" style="136" width="10.42"/>
    <col collapsed="false" customWidth="false" hidden="false" outlineLevel="0" max="11022" min="11022" style="136" width="7.57"/>
    <col collapsed="false" customWidth="true" hidden="false" outlineLevel="0" max="11023" min="11023" style="136" width="12.42"/>
    <col collapsed="false" customWidth="false" hidden="false" outlineLevel="0" max="11264" min="11024" style="136" width="7.57"/>
    <col collapsed="false" customWidth="true" hidden="false" outlineLevel="0" max="11269" min="11265" style="136" width="1.14"/>
    <col collapsed="false" customWidth="true" hidden="false" outlineLevel="0" max="11270" min="11270" style="136" width="50.29"/>
    <col collapsed="false" customWidth="true" hidden="false" outlineLevel="0" max="11271" min="11271" style="136" width="12.86"/>
    <col collapsed="false" customWidth="true" hidden="false" outlineLevel="0" max="11272" min="11272" style="136" width="0.86"/>
    <col collapsed="false" customWidth="true" hidden="false" outlineLevel="0" max="11273" min="11273" style="136" width="12.86"/>
    <col collapsed="false" customWidth="true" hidden="false" outlineLevel="0" max="11274" min="11274" style="136" width="2.86"/>
    <col collapsed="false" customWidth="true" hidden="false" outlineLevel="0" max="11276" min="11275" style="136" width="13.86"/>
    <col collapsed="false" customWidth="true" hidden="false" outlineLevel="0" max="11277" min="11277" style="136" width="10.42"/>
    <col collapsed="false" customWidth="false" hidden="false" outlineLevel="0" max="11278" min="11278" style="136" width="7.57"/>
    <col collapsed="false" customWidth="true" hidden="false" outlineLevel="0" max="11279" min="11279" style="136" width="12.42"/>
    <col collapsed="false" customWidth="false" hidden="false" outlineLevel="0" max="11520" min="11280" style="136" width="7.57"/>
    <col collapsed="false" customWidth="true" hidden="false" outlineLevel="0" max="11525" min="11521" style="136" width="1.14"/>
    <col collapsed="false" customWidth="true" hidden="false" outlineLevel="0" max="11526" min="11526" style="136" width="50.29"/>
    <col collapsed="false" customWidth="true" hidden="false" outlineLevel="0" max="11527" min="11527" style="136" width="12.86"/>
    <col collapsed="false" customWidth="true" hidden="false" outlineLevel="0" max="11528" min="11528" style="136" width="0.86"/>
    <col collapsed="false" customWidth="true" hidden="false" outlineLevel="0" max="11529" min="11529" style="136" width="12.86"/>
    <col collapsed="false" customWidth="true" hidden="false" outlineLevel="0" max="11530" min="11530" style="136" width="2.86"/>
    <col collapsed="false" customWidth="true" hidden="false" outlineLevel="0" max="11532" min="11531" style="136" width="13.86"/>
    <col collapsed="false" customWidth="true" hidden="false" outlineLevel="0" max="11533" min="11533" style="136" width="10.42"/>
    <col collapsed="false" customWidth="false" hidden="false" outlineLevel="0" max="11534" min="11534" style="136" width="7.57"/>
    <col collapsed="false" customWidth="true" hidden="false" outlineLevel="0" max="11535" min="11535" style="136" width="12.42"/>
    <col collapsed="false" customWidth="false" hidden="false" outlineLevel="0" max="11776" min="11536" style="136" width="7.57"/>
    <col collapsed="false" customWidth="true" hidden="false" outlineLevel="0" max="11781" min="11777" style="136" width="1.14"/>
    <col collapsed="false" customWidth="true" hidden="false" outlineLevel="0" max="11782" min="11782" style="136" width="50.29"/>
    <col collapsed="false" customWidth="true" hidden="false" outlineLevel="0" max="11783" min="11783" style="136" width="12.86"/>
    <col collapsed="false" customWidth="true" hidden="false" outlineLevel="0" max="11784" min="11784" style="136" width="0.86"/>
    <col collapsed="false" customWidth="true" hidden="false" outlineLevel="0" max="11785" min="11785" style="136" width="12.86"/>
    <col collapsed="false" customWidth="true" hidden="false" outlineLevel="0" max="11786" min="11786" style="136" width="2.86"/>
    <col collapsed="false" customWidth="true" hidden="false" outlineLevel="0" max="11788" min="11787" style="136" width="13.86"/>
    <col collapsed="false" customWidth="true" hidden="false" outlineLevel="0" max="11789" min="11789" style="136" width="10.42"/>
    <col collapsed="false" customWidth="false" hidden="false" outlineLevel="0" max="11790" min="11790" style="136" width="7.57"/>
    <col collapsed="false" customWidth="true" hidden="false" outlineLevel="0" max="11791" min="11791" style="136" width="12.42"/>
    <col collapsed="false" customWidth="false" hidden="false" outlineLevel="0" max="12032" min="11792" style="136" width="7.57"/>
    <col collapsed="false" customWidth="true" hidden="false" outlineLevel="0" max="12037" min="12033" style="136" width="1.14"/>
    <col collapsed="false" customWidth="true" hidden="false" outlineLevel="0" max="12038" min="12038" style="136" width="50.29"/>
    <col collapsed="false" customWidth="true" hidden="false" outlineLevel="0" max="12039" min="12039" style="136" width="12.86"/>
    <col collapsed="false" customWidth="true" hidden="false" outlineLevel="0" max="12040" min="12040" style="136" width="0.86"/>
    <col collapsed="false" customWidth="true" hidden="false" outlineLevel="0" max="12041" min="12041" style="136" width="12.86"/>
    <col collapsed="false" customWidth="true" hidden="false" outlineLevel="0" max="12042" min="12042" style="136" width="2.86"/>
    <col collapsed="false" customWidth="true" hidden="false" outlineLevel="0" max="12044" min="12043" style="136" width="13.86"/>
    <col collapsed="false" customWidth="true" hidden="false" outlineLevel="0" max="12045" min="12045" style="136" width="10.42"/>
    <col collapsed="false" customWidth="false" hidden="false" outlineLevel="0" max="12046" min="12046" style="136" width="7.57"/>
    <col collapsed="false" customWidth="true" hidden="false" outlineLevel="0" max="12047" min="12047" style="136" width="12.42"/>
    <col collapsed="false" customWidth="false" hidden="false" outlineLevel="0" max="12288" min="12048" style="136" width="7.57"/>
    <col collapsed="false" customWidth="true" hidden="false" outlineLevel="0" max="12293" min="12289" style="136" width="1.14"/>
    <col collapsed="false" customWidth="true" hidden="false" outlineLevel="0" max="12294" min="12294" style="136" width="50.29"/>
    <col collapsed="false" customWidth="true" hidden="false" outlineLevel="0" max="12295" min="12295" style="136" width="12.86"/>
    <col collapsed="false" customWidth="true" hidden="false" outlineLevel="0" max="12296" min="12296" style="136" width="0.86"/>
    <col collapsed="false" customWidth="true" hidden="false" outlineLevel="0" max="12297" min="12297" style="136" width="12.86"/>
    <col collapsed="false" customWidth="true" hidden="false" outlineLevel="0" max="12298" min="12298" style="136" width="2.86"/>
    <col collapsed="false" customWidth="true" hidden="false" outlineLevel="0" max="12300" min="12299" style="136" width="13.86"/>
    <col collapsed="false" customWidth="true" hidden="false" outlineLevel="0" max="12301" min="12301" style="136" width="10.42"/>
    <col collapsed="false" customWidth="false" hidden="false" outlineLevel="0" max="12302" min="12302" style="136" width="7.57"/>
    <col collapsed="false" customWidth="true" hidden="false" outlineLevel="0" max="12303" min="12303" style="136" width="12.42"/>
    <col collapsed="false" customWidth="false" hidden="false" outlineLevel="0" max="12544" min="12304" style="136" width="7.57"/>
    <col collapsed="false" customWidth="true" hidden="false" outlineLevel="0" max="12549" min="12545" style="136" width="1.14"/>
    <col collapsed="false" customWidth="true" hidden="false" outlineLevel="0" max="12550" min="12550" style="136" width="50.29"/>
    <col collapsed="false" customWidth="true" hidden="false" outlineLevel="0" max="12551" min="12551" style="136" width="12.86"/>
    <col collapsed="false" customWidth="true" hidden="false" outlineLevel="0" max="12552" min="12552" style="136" width="0.86"/>
    <col collapsed="false" customWidth="true" hidden="false" outlineLevel="0" max="12553" min="12553" style="136" width="12.86"/>
    <col collapsed="false" customWidth="true" hidden="false" outlineLevel="0" max="12554" min="12554" style="136" width="2.86"/>
    <col collapsed="false" customWidth="true" hidden="false" outlineLevel="0" max="12556" min="12555" style="136" width="13.86"/>
    <col collapsed="false" customWidth="true" hidden="false" outlineLevel="0" max="12557" min="12557" style="136" width="10.42"/>
    <col collapsed="false" customWidth="false" hidden="false" outlineLevel="0" max="12558" min="12558" style="136" width="7.57"/>
    <col collapsed="false" customWidth="true" hidden="false" outlineLevel="0" max="12559" min="12559" style="136" width="12.42"/>
    <col collapsed="false" customWidth="false" hidden="false" outlineLevel="0" max="12800" min="12560" style="136" width="7.57"/>
    <col collapsed="false" customWidth="true" hidden="false" outlineLevel="0" max="12805" min="12801" style="136" width="1.14"/>
    <col collapsed="false" customWidth="true" hidden="false" outlineLevel="0" max="12806" min="12806" style="136" width="50.29"/>
    <col collapsed="false" customWidth="true" hidden="false" outlineLevel="0" max="12807" min="12807" style="136" width="12.86"/>
    <col collapsed="false" customWidth="true" hidden="false" outlineLevel="0" max="12808" min="12808" style="136" width="0.86"/>
    <col collapsed="false" customWidth="true" hidden="false" outlineLevel="0" max="12809" min="12809" style="136" width="12.86"/>
    <col collapsed="false" customWidth="true" hidden="false" outlineLevel="0" max="12810" min="12810" style="136" width="2.86"/>
    <col collapsed="false" customWidth="true" hidden="false" outlineLevel="0" max="12812" min="12811" style="136" width="13.86"/>
    <col collapsed="false" customWidth="true" hidden="false" outlineLevel="0" max="12813" min="12813" style="136" width="10.42"/>
    <col collapsed="false" customWidth="false" hidden="false" outlineLevel="0" max="12814" min="12814" style="136" width="7.57"/>
    <col collapsed="false" customWidth="true" hidden="false" outlineLevel="0" max="12815" min="12815" style="136" width="12.42"/>
    <col collapsed="false" customWidth="false" hidden="false" outlineLevel="0" max="13056" min="12816" style="136" width="7.57"/>
    <col collapsed="false" customWidth="true" hidden="false" outlineLevel="0" max="13061" min="13057" style="136" width="1.14"/>
    <col collapsed="false" customWidth="true" hidden="false" outlineLevel="0" max="13062" min="13062" style="136" width="50.29"/>
    <col collapsed="false" customWidth="true" hidden="false" outlineLevel="0" max="13063" min="13063" style="136" width="12.86"/>
    <col collapsed="false" customWidth="true" hidden="false" outlineLevel="0" max="13064" min="13064" style="136" width="0.86"/>
    <col collapsed="false" customWidth="true" hidden="false" outlineLevel="0" max="13065" min="13065" style="136" width="12.86"/>
    <col collapsed="false" customWidth="true" hidden="false" outlineLevel="0" max="13066" min="13066" style="136" width="2.86"/>
    <col collapsed="false" customWidth="true" hidden="false" outlineLevel="0" max="13068" min="13067" style="136" width="13.86"/>
    <col collapsed="false" customWidth="true" hidden="false" outlineLevel="0" max="13069" min="13069" style="136" width="10.42"/>
    <col collapsed="false" customWidth="false" hidden="false" outlineLevel="0" max="13070" min="13070" style="136" width="7.57"/>
    <col collapsed="false" customWidth="true" hidden="false" outlineLevel="0" max="13071" min="13071" style="136" width="12.42"/>
    <col collapsed="false" customWidth="false" hidden="false" outlineLevel="0" max="13312" min="13072" style="136" width="7.57"/>
    <col collapsed="false" customWidth="true" hidden="false" outlineLevel="0" max="13317" min="13313" style="136" width="1.14"/>
    <col collapsed="false" customWidth="true" hidden="false" outlineLevel="0" max="13318" min="13318" style="136" width="50.29"/>
    <col collapsed="false" customWidth="true" hidden="false" outlineLevel="0" max="13319" min="13319" style="136" width="12.86"/>
    <col collapsed="false" customWidth="true" hidden="false" outlineLevel="0" max="13320" min="13320" style="136" width="0.86"/>
    <col collapsed="false" customWidth="true" hidden="false" outlineLevel="0" max="13321" min="13321" style="136" width="12.86"/>
    <col collapsed="false" customWidth="true" hidden="false" outlineLevel="0" max="13322" min="13322" style="136" width="2.86"/>
    <col collapsed="false" customWidth="true" hidden="false" outlineLevel="0" max="13324" min="13323" style="136" width="13.86"/>
    <col collapsed="false" customWidth="true" hidden="false" outlineLevel="0" max="13325" min="13325" style="136" width="10.42"/>
    <col collapsed="false" customWidth="false" hidden="false" outlineLevel="0" max="13326" min="13326" style="136" width="7.57"/>
    <col collapsed="false" customWidth="true" hidden="false" outlineLevel="0" max="13327" min="13327" style="136" width="12.42"/>
    <col collapsed="false" customWidth="false" hidden="false" outlineLevel="0" max="13568" min="13328" style="136" width="7.57"/>
    <col collapsed="false" customWidth="true" hidden="false" outlineLevel="0" max="13573" min="13569" style="136" width="1.14"/>
    <col collapsed="false" customWidth="true" hidden="false" outlineLevel="0" max="13574" min="13574" style="136" width="50.29"/>
    <col collapsed="false" customWidth="true" hidden="false" outlineLevel="0" max="13575" min="13575" style="136" width="12.86"/>
    <col collapsed="false" customWidth="true" hidden="false" outlineLevel="0" max="13576" min="13576" style="136" width="0.86"/>
    <col collapsed="false" customWidth="true" hidden="false" outlineLevel="0" max="13577" min="13577" style="136" width="12.86"/>
    <col collapsed="false" customWidth="true" hidden="false" outlineLevel="0" max="13578" min="13578" style="136" width="2.86"/>
    <col collapsed="false" customWidth="true" hidden="false" outlineLevel="0" max="13580" min="13579" style="136" width="13.86"/>
    <col collapsed="false" customWidth="true" hidden="false" outlineLevel="0" max="13581" min="13581" style="136" width="10.42"/>
    <col collapsed="false" customWidth="false" hidden="false" outlineLevel="0" max="13582" min="13582" style="136" width="7.57"/>
    <col collapsed="false" customWidth="true" hidden="false" outlineLevel="0" max="13583" min="13583" style="136" width="12.42"/>
    <col collapsed="false" customWidth="false" hidden="false" outlineLevel="0" max="13824" min="13584" style="136" width="7.57"/>
    <col collapsed="false" customWidth="true" hidden="false" outlineLevel="0" max="13829" min="13825" style="136" width="1.14"/>
    <col collapsed="false" customWidth="true" hidden="false" outlineLevel="0" max="13830" min="13830" style="136" width="50.29"/>
    <col collapsed="false" customWidth="true" hidden="false" outlineLevel="0" max="13831" min="13831" style="136" width="12.86"/>
    <col collapsed="false" customWidth="true" hidden="false" outlineLevel="0" max="13832" min="13832" style="136" width="0.86"/>
    <col collapsed="false" customWidth="true" hidden="false" outlineLevel="0" max="13833" min="13833" style="136" width="12.86"/>
    <col collapsed="false" customWidth="true" hidden="false" outlineLevel="0" max="13834" min="13834" style="136" width="2.86"/>
    <col collapsed="false" customWidth="true" hidden="false" outlineLevel="0" max="13836" min="13835" style="136" width="13.86"/>
    <col collapsed="false" customWidth="true" hidden="false" outlineLevel="0" max="13837" min="13837" style="136" width="10.42"/>
    <col collapsed="false" customWidth="false" hidden="false" outlineLevel="0" max="13838" min="13838" style="136" width="7.57"/>
    <col collapsed="false" customWidth="true" hidden="false" outlineLevel="0" max="13839" min="13839" style="136" width="12.42"/>
    <col collapsed="false" customWidth="false" hidden="false" outlineLevel="0" max="14080" min="13840" style="136" width="7.57"/>
    <col collapsed="false" customWidth="true" hidden="false" outlineLevel="0" max="14085" min="14081" style="136" width="1.14"/>
    <col collapsed="false" customWidth="true" hidden="false" outlineLevel="0" max="14086" min="14086" style="136" width="50.29"/>
    <col collapsed="false" customWidth="true" hidden="false" outlineLevel="0" max="14087" min="14087" style="136" width="12.86"/>
    <col collapsed="false" customWidth="true" hidden="false" outlineLevel="0" max="14088" min="14088" style="136" width="0.86"/>
    <col collapsed="false" customWidth="true" hidden="false" outlineLevel="0" max="14089" min="14089" style="136" width="12.86"/>
    <col collapsed="false" customWidth="true" hidden="false" outlineLevel="0" max="14090" min="14090" style="136" width="2.86"/>
    <col collapsed="false" customWidth="true" hidden="false" outlineLevel="0" max="14092" min="14091" style="136" width="13.86"/>
    <col collapsed="false" customWidth="true" hidden="false" outlineLevel="0" max="14093" min="14093" style="136" width="10.42"/>
    <col collapsed="false" customWidth="false" hidden="false" outlineLevel="0" max="14094" min="14094" style="136" width="7.57"/>
    <col collapsed="false" customWidth="true" hidden="false" outlineLevel="0" max="14095" min="14095" style="136" width="12.42"/>
    <col collapsed="false" customWidth="false" hidden="false" outlineLevel="0" max="14336" min="14096" style="136" width="7.57"/>
    <col collapsed="false" customWidth="true" hidden="false" outlineLevel="0" max="14341" min="14337" style="136" width="1.14"/>
    <col collapsed="false" customWidth="true" hidden="false" outlineLevel="0" max="14342" min="14342" style="136" width="50.29"/>
    <col collapsed="false" customWidth="true" hidden="false" outlineLevel="0" max="14343" min="14343" style="136" width="12.86"/>
    <col collapsed="false" customWidth="true" hidden="false" outlineLevel="0" max="14344" min="14344" style="136" width="0.86"/>
    <col collapsed="false" customWidth="true" hidden="false" outlineLevel="0" max="14345" min="14345" style="136" width="12.86"/>
    <col collapsed="false" customWidth="true" hidden="false" outlineLevel="0" max="14346" min="14346" style="136" width="2.86"/>
    <col collapsed="false" customWidth="true" hidden="false" outlineLevel="0" max="14348" min="14347" style="136" width="13.86"/>
    <col collapsed="false" customWidth="true" hidden="false" outlineLevel="0" max="14349" min="14349" style="136" width="10.42"/>
    <col collapsed="false" customWidth="false" hidden="false" outlineLevel="0" max="14350" min="14350" style="136" width="7.57"/>
    <col collapsed="false" customWidth="true" hidden="false" outlineLevel="0" max="14351" min="14351" style="136" width="12.42"/>
    <col collapsed="false" customWidth="false" hidden="false" outlineLevel="0" max="14592" min="14352" style="136" width="7.57"/>
    <col collapsed="false" customWidth="true" hidden="false" outlineLevel="0" max="14597" min="14593" style="136" width="1.14"/>
    <col collapsed="false" customWidth="true" hidden="false" outlineLevel="0" max="14598" min="14598" style="136" width="50.29"/>
    <col collapsed="false" customWidth="true" hidden="false" outlineLevel="0" max="14599" min="14599" style="136" width="12.86"/>
    <col collapsed="false" customWidth="true" hidden="false" outlineLevel="0" max="14600" min="14600" style="136" width="0.86"/>
    <col collapsed="false" customWidth="true" hidden="false" outlineLevel="0" max="14601" min="14601" style="136" width="12.86"/>
    <col collapsed="false" customWidth="true" hidden="false" outlineLevel="0" max="14602" min="14602" style="136" width="2.86"/>
    <col collapsed="false" customWidth="true" hidden="false" outlineLevel="0" max="14604" min="14603" style="136" width="13.86"/>
    <col collapsed="false" customWidth="true" hidden="false" outlineLevel="0" max="14605" min="14605" style="136" width="10.42"/>
    <col collapsed="false" customWidth="false" hidden="false" outlineLevel="0" max="14606" min="14606" style="136" width="7.57"/>
    <col collapsed="false" customWidth="true" hidden="false" outlineLevel="0" max="14607" min="14607" style="136" width="12.42"/>
    <col collapsed="false" customWidth="false" hidden="false" outlineLevel="0" max="14848" min="14608" style="136" width="7.57"/>
    <col collapsed="false" customWidth="true" hidden="false" outlineLevel="0" max="14853" min="14849" style="136" width="1.14"/>
    <col collapsed="false" customWidth="true" hidden="false" outlineLevel="0" max="14854" min="14854" style="136" width="50.29"/>
    <col collapsed="false" customWidth="true" hidden="false" outlineLevel="0" max="14855" min="14855" style="136" width="12.86"/>
    <col collapsed="false" customWidth="true" hidden="false" outlineLevel="0" max="14856" min="14856" style="136" width="0.86"/>
    <col collapsed="false" customWidth="true" hidden="false" outlineLevel="0" max="14857" min="14857" style="136" width="12.86"/>
    <col collapsed="false" customWidth="true" hidden="false" outlineLevel="0" max="14858" min="14858" style="136" width="2.86"/>
    <col collapsed="false" customWidth="true" hidden="false" outlineLevel="0" max="14860" min="14859" style="136" width="13.86"/>
    <col collapsed="false" customWidth="true" hidden="false" outlineLevel="0" max="14861" min="14861" style="136" width="10.42"/>
    <col collapsed="false" customWidth="false" hidden="false" outlineLevel="0" max="14862" min="14862" style="136" width="7.57"/>
    <col collapsed="false" customWidth="true" hidden="false" outlineLevel="0" max="14863" min="14863" style="136" width="12.42"/>
    <col collapsed="false" customWidth="false" hidden="false" outlineLevel="0" max="15104" min="14864" style="136" width="7.57"/>
    <col collapsed="false" customWidth="true" hidden="false" outlineLevel="0" max="15109" min="15105" style="136" width="1.14"/>
    <col collapsed="false" customWidth="true" hidden="false" outlineLevel="0" max="15110" min="15110" style="136" width="50.29"/>
    <col collapsed="false" customWidth="true" hidden="false" outlineLevel="0" max="15111" min="15111" style="136" width="12.86"/>
    <col collapsed="false" customWidth="true" hidden="false" outlineLevel="0" max="15112" min="15112" style="136" width="0.86"/>
    <col collapsed="false" customWidth="true" hidden="false" outlineLevel="0" max="15113" min="15113" style="136" width="12.86"/>
    <col collapsed="false" customWidth="true" hidden="false" outlineLevel="0" max="15114" min="15114" style="136" width="2.86"/>
    <col collapsed="false" customWidth="true" hidden="false" outlineLevel="0" max="15116" min="15115" style="136" width="13.86"/>
    <col collapsed="false" customWidth="true" hidden="false" outlineLevel="0" max="15117" min="15117" style="136" width="10.42"/>
    <col collapsed="false" customWidth="false" hidden="false" outlineLevel="0" max="15118" min="15118" style="136" width="7.57"/>
    <col collapsed="false" customWidth="true" hidden="false" outlineLevel="0" max="15119" min="15119" style="136" width="12.42"/>
    <col collapsed="false" customWidth="false" hidden="false" outlineLevel="0" max="15360" min="15120" style="136" width="7.57"/>
    <col collapsed="false" customWidth="true" hidden="false" outlineLevel="0" max="15365" min="15361" style="136" width="1.14"/>
    <col collapsed="false" customWidth="true" hidden="false" outlineLevel="0" max="15366" min="15366" style="136" width="50.29"/>
    <col collapsed="false" customWidth="true" hidden="false" outlineLevel="0" max="15367" min="15367" style="136" width="12.86"/>
    <col collapsed="false" customWidth="true" hidden="false" outlineLevel="0" max="15368" min="15368" style="136" width="0.86"/>
    <col collapsed="false" customWidth="true" hidden="false" outlineLevel="0" max="15369" min="15369" style="136" width="12.86"/>
    <col collapsed="false" customWidth="true" hidden="false" outlineLevel="0" max="15370" min="15370" style="136" width="2.86"/>
    <col collapsed="false" customWidth="true" hidden="false" outlineLevel="0" max="15372" min="15371" style="136" width="13.86"/>
    <col collapsed="false" customWidth="true" hidden="false" outlineLevel="0" max="15373" min="15373" style="136" width="10.42"/>
    <col collapsed="false" customWidth="false" hidden="false" outlineLevel="0" max="15374" min="15374" style="136" width="7.57"/>
    <col collapsed="false" customWidth="true" hidden="false" outlineLevel="0" max="15375" min="15375" style="136" width="12.42"/>
    <col collapsed="false" customWidth="false" hidden="false" outlineLevel="0" max="15616" min="15376" style="136" width="7.57"/>
    <col collapsed="false" customWidth="true" hidden="false" outlineLevel="0" max="15621" min="15617" style="136" width="1.14"/>
    <col collapsed="false" customWidth="true" hidden="false" outlineLevel="0" max="15622" min="15622" style="136" width="50.29"/>
    <col collapsed="false" customWidth="true" hidden="false" outlineLevel="0" max="15623" min="15623" style="136" width="12.86"/>
    <col collapsed="false" customWidth="true" hidden="false" outlineLevel="0" max="15624" min="15624" style="136" width="0.86"/>
    <col collapsed="false" customWidth="true" hidden="false" outlineLevel="0" max="15625" min="15625" style="136" width="12.86"/>
    <col collapsed="false" customWidth="true" hidden="false" outlineLevel="0" max="15626" min="15626" style="136" width="2.86"/>
    <col collapsed="false" customWidth="true" hidden="false" outlineLevel="0" max="15628" min="15627" style="136" width="13.86"/>
    <col collapsed="false" customWidth="true" hidden="false" outlineLevel="0" max="15629" min="15629" style="136" width="10.42"/>
    <col collapsed="false" customWidth="false" hidden="false" outlineLevel="0" max="15630" min="15630" style="136" width="7.57"/>
    <col collapsed="false" customWidth="true" hidden="false" outlineLevel="0" max="15631" min="15631" style="136" width="12.42"/>
    <col collapsed="false" customWidth="false" hidden="false" outlineLevel="0" max="15872" min="15632" style="136" width="7.57"/>
    <col collapsed="false" customWidth="true" hidden="false" outlineLevel="0" max="15877" min="15873" style="136" width="1.14"/>
    <col collapsed="false" customWidth="true" hidden="false" outlineLevel="0" max="15878" min="15878" style="136" width="50.29"/>
    <col collapsed="false" customWidth="true" hidden="false" outlineLevel="0" max="15879" min="15879" style="136" width="12.86"/>
    <col collapsed="false" customWidth="true" hidden="false" outlineLevel="0" max="15880" min="15880" style="136" width="0.86"/>
    <col collapsed="false" customWidth="true" hidden="false" outlineLevel="0" max="15881" min="15881" style="136" width="12.86"/>
    <col collapsed="false" customWidth="true" hidden="false" outlineLevel="0" max="15882" min="15882" style="136" width="2.86"/>
    <col collapsed="false" customWidth="true" hidden="false" outlineLevel="0" max="15884" min="15883" style="136" width="13.86"/>
    <col collapsed="false" customWidth="true" hidden="false" outlineLevel="0" max="15885" min="15885" style="136" width="10.42"/>
    <col collapsed="false" customWidth="false" hidden="false" outlineLevel="0" max="15886" min="15886" style="136" width="7.57"/>
    <col collapsed="false" customWidth="true" hidden="false" outlineLevel="0" max="15887" min="15887" style="136" width="12.42"/>
    <col collapsed="false" customWidth="false" hidden="false" outlineLevel="0" max="16128" min="15888" style="136" width="7.57"/>
    <col collapsed="false" customWidth="true" hidden="false" outlineLevel="0" max="16133" min="16129" style="136" width="1.14"/>
    <col collapsed="false" customWidth="true" hidden="false" outlineLevel="0" max="16134" min="16134" style="136" width="50.29"/>
    <col collapsed="false" customWidth="true" hidden="false" outlineLevel="0" max="16135" min="16135" style="136" width="12.86"/>
    <col collapsed="false" customWidth="true" hidden="false" outlineLevel="0" max="16136" min="16136" style="136" width="0.86"/>
    <col collapsed="false" customWidth="true" hidden="false" outlineLevel="0" max="16137" min="16137" style="136" width="12.86"/>
    <col collapsed="false" customWidth="true" hidden="false" outlineLevel="0" max="16138" min="16138" style="136" width="2.86"/>
    <col collapsed="false" customWidth="true" hidden="false" outlineLevel="0" max="16140" min="16139" style="136" width="13.86"/>
    <col collapsed="false" customWidth="true" hidden="false" outlineLevel="0" max="16141" min="16141" style="136" width="10.42"/>
    <col collapsed="false" customWidth="false" hidden="false" outlineLevel="0" max="16142" min="16142" style="136" width="7.57"/>
    <col collapsed="false" customWidth="true" hidden="false" outlineLevel="0" max="16143" min="16143" style="136" width="12.42"/>
    <col collapsed="false" customWidth="false" hidden="false" outlineLevel="0" max="16384" min="16144" style="136" width="7.57"/>
  </cols>
  <sheetData>
    <row r="1" customFormat="false" ht="24" hidden="false" customHeight="true" outlineLevel="0" collapsed="false">
      <c r="I1" s="3" t="s">
        <v>0</v>
      </c>
    </row>
    <row r="2" customFormat="false" ht="24" hidden="false" customHeight="true" outlineLevel="0" collapsed="false">
      <c r="I2" s="3" t="s">
        <v>1</v>
      </c>
    </row>
    <row r="3" customFormat="false" ht="24" hidden="false" customHeight="true" outlineLevel="0" collapsed="false">
      <c r="A3" s="139" t="s">
        <v>110</v>
      </c>
      <c r="B3" s="139"/>
      <c r="C3" s="139"/>
      <c r="D3" s="139"/>
      <c r="E3" s="139"/>
      <c r="F3" s="139"/>
      <c r="G3" s="139"/>
      <c r="H3" s="139"/>
      <c r="I3" s="139"/>
    </row>
    <row r="4" customFormat="false" ht="24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140"/>
      <c r="K4" s="140"/>
      <c r="L4" s="140"/>
      <c r="M4" s="140"/>
      <c r="N4" s="140"/>
      <c r="O4" s="140"/>
    </row>
    <row r="5" customFormat="false" ht="24" hidden="false" customHeight="true" outlineLevel="0" collapsed="false">
      <c r="A5" s="141" t="s">
        <v>111</v>
      </c>
      <c r="B5" s="141"/>
      <c r="C5" s="141"/>
      <c r="D5" s="141"/>
      <c r="E5" s="141"/>
      <c r="F5" s="141"/>
      <c r="G5" s="141"/>
      <c r="H5" s="141"/>
      <c r="I5" s="141"/>
    </row>
    <row r="6" customFormat="false" ht="24" hidden="false" customHeight="true" outlineLevel="0" collapsed="false">
      <c r="A6" s="141" t="s">
        <v>92</v>
      </c>
      <c r="B6" s="141"/>
      <c r="C6" s="141"/>
      <c r="D6" s="141"/>
      <c r="E6" s="141"/>
      <c r="F6" s="141"/>
      <c r="G6" s="141"/>
      <c r="H6" s="141"/>
      <c r="I6" s="141"/>
    </row>
    <row r="7" customFormat="false" ht="22.5" hidden="false" customHeight="true" outlineLevel="0" collapsed="false">
      <c r="D7" s="142"/>
      <c r="E7" s="142"/>
      <c r="F7" s="142"/>
      <c r="G7" s="143" t="s">
        <v>7</v>
      </c>
      <c r="H7" s="143"/>
      <c r="I7" s="143"/>
    </row>
    <row r="8" customFormat="false" ht="22.5" hidden="false" customHeight="true" outlineLevel="0" collapsed="false">
      <c r="D8" s="142"/>
      <c r="E8" s="142"/>
      <c r="F8" s="142"/>
      <c r="G8" s="144"/>
      <c r="H8" s="145"/>
      <c r="I8" s="144"/>
    </row>
    <row r="9" customFormat="false" ht="22.5" hidden="false" customHeight="true" outlineLevel="0" collapsed="false">
      <c r="A9" s="136" t="s">
        <v>112</v>
      </c>
    </row>
    <row r="10" customFormat="false" ht="22.5" hidden="false" customHeight="true" outlineLevel="0" collapsed="false">
      <c r="C10" s="136" t="s">
        <v>86</v>
      </c>
      <c r="G10" s="146"/>
      <c r="H10" s="146"/>
      <c r="I10" s="146"/>
      <c r="L10" s="136"/>
    </row>
    <row r="11" customFormat="false" ht="22.5" hidden="false" customHeight="true" outlineLevel="0" collapsed="false">
      <c r="C11" s="136" t="s">
        <v>113</v>
      </c>
      <c r="G11" s="146"/>
      <c r="H11" s="146"/>
      <c r="I11" s="146"/>
      <c r="L11" s="136"/>
    </row>
    <row r="12" customFormat="false" ht="22.5" hidden="false" customHeight="true" outlineLevel="0" collapsed="false">
      <c r="D12" s="136" t="s">
        <v>114</v>
      </c>
      <c r="G12" s="146"/>
      <c r="H12" s="146"/>
      <c r="I12" s="146"/>
      <c r="L12" s="136"/>
    </row>
    <row r="13" customFormat="false" ht="22.5" hidden="false" customHeight="true" outlineLevel="0" collapsed="false">
      <c r="D13" s="136" t="s">
        <v>115</v>
      </c>
      <c r="G13" s="147"/>
      <c r="H13" s="146"/>
      <c r="I13" s="147"/>
      <c r="L13" s="136"/>
    </row>
    <row r="14" customFormat="false" ht="22.5" hidden="false" customHeight="true" outlineLevel="0" collapsed="false">
      <c r="E14" s="148" t="s">
        <v>18</v>
      </c>
      <c r="G14" s="146"/>
      <c r="H14" s="146"/>
      <c r="I14" s="146"/>
      <c r="L14" s="136"/>
    </row>
    <row r="15" customFormat="false" ht="22.5" hidden="false" customHeight="true" outlineLevel="0" collapsed="false">
      <c r="D15" s="136" t="s">
        <v>116</v>
      </c>
      <c r="G15" s="147"/>
      <c r="H15" s="146"/>
      <c r="I15" s="147"/>
      <c r="L15" s="136"/>
    </row>
    <row r="16" customFormat="false" ht="22.5" hidden="false" customHeight="true" outlineLevel="0" collapsed="false">
      <c r="D16" s="136" t="s">
        <v>117</v>
      </c>
      <c r="G16" s="146"/>
      <c r="H16" s="146"/>
      <c r="I16" s="146"/>
      <c r="L16" s="136"/>
    </row>
    <row r="17" customFormat="false" ht="22.5" hidden="false" customHeight="true" outlineLevel="0" collapsed="false">
      <c r="D17" s="136" t="s">
        <v>118</v>
      </c>
      <c r="G17" s="147"/>
      <c r="H17" s="146"/>
      <c r="I17" s="147"/>
      <c r="L17" s="136"/>
    </row>
    <row r="18" customFormat="false" ht="22.5" hidden="false" customHeight="true" outlineLevel="0" collapsed="false">
      <c r="D18" s="136" t="s">
        <v>119</v>
      </c>
      <c r="G18" s="146"/>
      <c r="H18" s="146"/>
      <c r="I18" s="146"/>
      <c r="L18" s="136"/>
    </row>
    <row r="19" s="136" customFormat="true" ht="22.5" hidden="false" customHeight="true" outlineLevel="0" collapsed="false">
      <c r="D19" s="136" t="s">
        <v>115</v>
      </c>
      <c r="E19" s="148"/>
      <c r="F19" s="148"/>
      <c r="H19" s="146"/>
      <c r="K19" s="138"/>
    </row>
    <row r="20" customFormat="false" ht="22.5" hidden="false" customHeight="true" outlineLevel="0" collapsed="false">
      <c r="E20" s="148" t="s">
        <v>120</v>
      </c>
      <c r="F20" s="148"/>
      <c r="G20" s="146"/>
      <c r="H20" s="146"/>
      <c r="I20" s="146"/>
      <c r="L20" s="136"/>
    </row>
    <row r="21" customFormat="false" ht="22.5" hidden="false" customHeight="true" outlineLevel="0" collapsed="false">
      <c r="D21" s="136" t="s">
        <v>121</v>
      </c>
      <c r="G21" s="147"/>
      <c r="H21" s="146"/>
      <c r="I21" s="147"/>
      <c r="L21" s="136"/>
    </row>
    <row r="22" customFormat="false" ht="22.5" hidden="false" customHeight="true" outlineLevel="0" collapsed="false">
      <c r="D22" s="149" t="s">
        <v>122</v>
      </c>
      <c r="E22" s="149"/>
      <c r="F22" s="149"/>
      <c r="G22" s="147"/>
      <c r="H22" s="146"/>
      <c r="I22" s="147"/>
      <c r="L22" s="136"/>
    </row>
    <row r="23" customFormat="false" ht="22.5" hidden="false" customHeight="true" outlineLevel="0" collapsed="false">
      <c r="D23" s="149" t="s">
        <v>123</v>
      </c>
      <c r="E23" s="149"/>
      <c r="F23" s="149"/>
      <c r="G23" s="146"/>
      <c r="H23" s="146"/>
      <c r="I23" s="146"/>
      <c r="L23" s="136"/>
    </row>
    <row r="24" customFormat="false" ht="22.5" hidden="false" customHeight="true" outlineLevel="0" collapsed="false">
      <c r="D24" s="149" t="s">
        <v>85</v>
      </c>
      <c r="E24" s="149"/>
      <c r="F24" s="149"/>
      <c r="G24" s="150"/>
      <c r="H24" s="146"/>
      <c r="I24" s="150"/>
      <c r="L24" s="136"/>
    </row>
    <row r="25" customFormat="false" ht="22.5" hidden="false" customHeight="true" outlineLevel="0" collapsed="false">
      <c r="C25" s="136" t="s">
        <v>124</v>
      </c>
      <c r="D25" s="149"/>
      <c r="E25" s="149"/>
      <c r="F25" s="149"/>
      <c r="G25" s="147"/>
      <c r="H25" s="146"/>
      <c r="I25" s="147"/>
      <c r="L25" s="136"/>
    </row>
    <row r="26" customFormat="false" ht="22.5" hidden="false" customHeight="true" outlineLevel="0" collapsed="false">
      <c r="D26" s="149" t="s">
        <v>125</v>
      </c>
      <c r="E26" s="149"/>
      <c r="F26" s="149"/>
      <c r="G26" s="146" t="n">
        <f aca="false">SUM(G10:G24)</f>
        <v>0</v>
      </c>
      <c r="H26" s="146"/>
      <c r="I26" s="146"/>
      <c r="L26" s="136"/>
    </row>
    <row r="27" customFormat="false" ht="22.5" hidden="false" customHeight="true" outlineLevel="0" collapsed="false">
      <c r="C27" s="136" t="s">
        <v>126</v>
      </c>
      <c r="D27" s="149"/>
      <c r="E27" s="149"/>
      <c r="F27" s="149"/>
      <c r="G27" s="147"/>
      <c r="H27" s="146"/>
      <c r="I27" s="147"/>
      <c r="L27" s="136"/>
    </row>
    <row r="28" customFormat="false" ht="22.5" hidden="false" customHeight="true" outlineLevel="0" collapsed="false">
      <c r="D28" s="136" t="s">
        <v>15</v>
      </c>
      <c r="G28" s="147"/>
      <c r="H28" s="146"/>
      <c r="I28" s="147"/>
      <c r="L28" s="136"/>
    </row>
    <row r="29" customFormat="false" ht="22.5" hidden="false" customHeight="true" outlineLevel="0" collapsed="false">
      <c r="D29" s="151" t="s">
        <v>16</v>
      </c>
      <c r="E29" s="151"/>
      <c r="F29" s="151"/>
      <c r="G29" s="147"/>
      <c r="H29" s="146"/>
      <c r="I29" s="147"/>
      <c r="L29" s="136"/>
    </row>
    <row r="30" customFormat="false" ht="22.5" hidden="false" customHeight="true" outlineLevel="0" collapsed="false">
      <c r="D30" s="136" t="s">
        <v>17</v>
      </c>
      <c r="G30" s="147"/>
      <c r="H30" s="146"/>
      <c r="I30" s="147"/>
      <c r="L30" s="136"/>
    </row>
    <row r="31" customFormat="false" ht="22.5" hidden="false" customHeight="true" outlineLevel="0" collapsed="false">
      <c r="G31" s="147"/>
      <c r="H31" s="146"/>
      <c r="I31" s="147"/>
      <c r="L31" s="136"/>
    </row>
    <row r="32" customFormat="false" ht="19.5" hidden="false" customHeight="true" outlineLevel="0" collapsed="false">
      <c r="G32" s="147"/>
      <c r="H32" s="146"/>
      <c r="I32" s="147"/>
      <c r="L32" s="136"/>
    </row>
    <row r="33" customFormat="false" ht="24" hidden="false" customHeight="true" outlineLevel="0" collapsed="false">
      <c r="G33" s="147"/>
      <c r="H33" s="146"/>
      <c r="I33" s="3" t="s">
        <v>0</v>
      </c>
      <c r="L33" s="136"/>
    </row>
    <row r="34" customFormat="false" ht="24" hidden="false" customHeight="true" outlineLevel="0" collapsed="false">
      <c r="A34" s="1"/>
      <c r="G34" s="147"/>
      <c r="H34" s="146"/>
      <c r="I34" s="3" t="s">
        <v>1</v>
      </c>
      <c r="L34" s="136"/>
    </row>
    <row r="35" customFormat="false" ht="24" hidden="false" customHeight="true" outlineLevel="0" collapsed="false">
      <c r="A35" s="139" t="s">
        <v>127</v>
      </c>
      <c r="B35" s="139"/>
      <c r="C35" s="139"/>
      <c r="D35" s="139"/>
      <c r="E35" s="139"/>
      <c r="F35" s="139"/>
      <c r="G35" s="139"/>
      <c r="H35" s="139"/>
      <c r="I35" s="139"/>
      <c r="L35" s="136"/>
    </row>
    <row r="36" customFormat="false" ht="24" hidden="false" customHeight="true" outlineLevel="0" collapsed="false">
      <c r="A36" s="5" t="s">
        <v>3</v>
      </c>
      <c r="B36" s="5"/>
      <c r="C36" s="5"/>
      <c r="D36" s="5"/>
      <c r="E36" s="5"/>
      <c r="F36" s="5"/>
      <c r="G36" s="5"/>
      <c r="H36" s="5"/>
      <c r="I36" s="5"/>
      <c r="J36" s="140"/>
      <c r="K36" s="140"/>
      <c r="L36" s="140"/>
      <c r="M36" s="140"/>
      <c r="N36" s="140"/>
    </row>
    <row r="37" customFormat="false" ht="24" hidden="false" customHeight="true" outlineLevel="0" collapsed="false">
      <c r="A37" s="141" t="s">
        <v>128</v>
      </c>
      <c r="B37" s="141"/>
      <c r="C37" s="141"/>
      <c r="D37" s="141"/>
      <c r="E37" s="141"/>
      <c r="F37" s="141"/>
      <c r="G37" s="141"/>
      <c r="H37" s="141"/>
      <c r="I37" s="141"/>
      <c r="L37" s="136"/>
    </row>
    <row r="38" customFormat="false" ht="24" hidden="false" customHeight="true" outlineLevel="0" collapsed="false">
      <c r="A38" s="141" t="s">
        <v>92</v>
      </c>
      <c r="B38" s="141"/>
      <c r="C38" s="141"/>
      <c r="D38" s="141"/>
      <c r="E38" s="141"/>
      <c r="F38" s="141"/>
      <c r="G38" s="141"/>
      <c r="H38" s="141"/>
      <c r="I38" s="141"/>
      <c r="L38" s="136"/>
    </row>
    <row r="39" customFormat="false" ht="24" hidden="false" customHeight="true" outlineLevel="0" collapsed="false">
      <c r="D39" s="142"/>
      <c r="E39" s="142"/>
      <c r="F39" s="142"/>
      <c r="G39" s="143" t="s">
        <v>7</v>
      </c>
      <c r="H39" s="143"/>
      <c r="I39" s="143"/>
      <c r="L39" s="136"/>
    </row>
    <row r="40" customFormat="false" ht="24" hidden="false" customHeight="true" outlineLevel="0" collapsed="false">
      <c r="D40" s="142"/>
      <c r="E40" s="142"/>
      <c r="F40" s="142"/>
      <c r="G40" s="144"/>
      <c r="H40" s="145"/>
      <c r="I40" s="144"/>
      <c r="L40" s="136"/>
    </row>
    <row r="41" customFormat="false" ht="24" hidden="false" customHeight="true" outlineLevel="0" collapsed="false">
      <c r="D41" s="136" t="s">
        <v>129</v>
      </c>
      <c r="G41" s="147"/>
      <c r="H41" s="146"/>
      <c r="I41" s="147"/>
      <c r="L41" s="136"/>
    </row>
    <row r="42" customFormat="false" ht="24" hidden="false" customHeight="true" outlineLevel="0" collapsed="false">
      <c r="D42" s="136" t="s">
        <v>30</v>
      </c>
      <c r="G42" s="147"/>
      <c r="H42" s="146"/>
      <c r="I42" s="147"/>
      <c r="L42" s="136"/>
    </row>
    <row r="43" customFormat="false" ht="24" hidden="false" customHeight="true" outlineLevel="0" collapsed="false">
      <c r="C43" s="136" t="s">
        <v>130</v>
      </c>
      <c r="G43" s="147"/>
      <c r="H43" s="146"/>
      <c r="I43" s="147"/>
      <c r="L43" s="136"/>
    </row>
    <row r="44" customFormat="false" ht="24" hidden="false" customHeight="true" outlineLevel="0" collapsed="false">
      <c r="D44" s="136" t="s">
        <v>39</v>
      </c>
      <c r="G44" s="147"/>
      <c r="H44" s="146"/>
      <c r="I44" s="147"/>
      <c r="L44" s="136"/>
    </row>
    <row r="45" customFormat="false" ht="24" hidden="false" customHeight="true" outlineLevel="0" collapsed="false">
      <c r="D45" s="136" t="s">
        <v>131</v>
      </c>
      <c r="G45" s="147"/>
      <c r="H45" s="146"/>
      <c r="I45" s="147"/>
      <c r="L45" s="136"/>
    </row>
    <row r="46" customFormat="false" ht="24" hidden="false" customHeight="true" outlineLevel="0" collapsed="false">
      <c r="D46" s="136" t="s">
        <v>132</v>
      </c>
      <c r="G46" s="147"/>
      <c r="H46" s="146"/>
      <c r="I46" s="147"/>
      <c r="L46" s="136"/>
    </row>
    <row r="47" customFormat="false" ht="24" hidden="false" customHeight="true" outlineLevel="0" collapsed="false">
      <c r="D47" s="136" t="s">
        <v>45</v>
      </c>
      <c r="G47" s="147"/>
      <c r="H47" s="146"/>
      <c r="I47" s="147"/>
      <c r="L47" s="136"/>
    </row>
    <row r="48" customFormat="false" ht="24" hidden="false" customHeight="true" outlineLevel="0" collapsed="false">
      <c r="D48" s="136" t="s">
        <v>133</v>
      </c>
      <c r="G48" s="147"/>
      <c r="H48" s="146"/>
      <c r="I48" s="147"/>
      <c r="L48" s="136"/>
    </row>
    <row r="49" customFormat="false" ht="24" hidden="false" customHeight="true" outlineLevel="0" collapsed="false">
      <c r="D49" s="136" t="s">
        <v>134</v>
      </c>
      <c r="G49" s="147"/>
      <c r="H49" s="146"/>
      <c r="I49" s="147"/>
      <c r="L49" s="136"/>
    </row>
    <row r="50" customFormat="false" ht="24" hidden="false" customHeight="true" outlineLevel="0" collapsed="false">
      <c r="D50" s="136" t="s">
        <v>135</v>
      </c>
      <c r="G50" s="152"/>
      <c r="H50" s="147"/>
      <c r="I50" s="152"/>
      <c r="L50" s="136"/>
    </row>
    <row r="51" customFormat="false" ht="24" hidden="false" customHeight="true" outlineLevel="0" collapsed="false">
      <c r="D51" s="136" t="s">
        <v>136</v>
      </c>
      <c r="G51" s="147" t="n">
        <f aca="false">SUM(G26:G30,G41:G50)</f>
        <v>0</v>
      </c>
      <c r="H51" s="146"/>
      <c r="I51" s="147"/>
      <c r="L51" s="136"/>
    </row>
    <row r="52" customFormat="false" ht="24" hidden="false" customHeight="true" outlineLevel="0" collapsed="false">
      <c r="D52" s="149" t="s">
        <v>137</v>
      </c>
      <c r="E52" s="149"/>
      <c r="F52" s="149"/>
      <c r="G52" s="153"/>
      <c r="H52" s="146"/>
      <c r="I52" s="153"/>
      <c r="L52" s="136"/>
    </row>
    <row r="53" customFormat="false" ht="24" hidden="false" customHeight="true" outlineLevel="0" collapsed="false">
      <c r="E53" s="148" t="s">
        <v>138</v>
      </c>
      <c r="G53" s="153" t="n">
        <f aca="false">SUM(G51:G52)</f>
        <v>0</v>
      </c>
      <c r="H53" s="146"/>
      <c r="I53" s="153" t="n">
        <f aca="false">SUM(I51:I52)</f>
        <v>0</v>
      </c>
      <c r="L53" s="136"/>
    </row>
    <row r="54" customFormat="false" ht="24" hidden="false" customHeight="true" outlineLevel="0" collapsed="false">
      <c r="A54" s="136" t="s">
        <v>139</v>
      </c>
      <c r="G54" s="146"/>
      <c r="H54" s="146"/>
      <c r="I54" s="146"/>
      <c r="L54" s="136"/>
    </row>
    <row r="55" customFormat="false" ht="24" hidden="false" customHeight="true" outlineLevel="0" collapsed="false">
      <c r="D55" s="149" t="s">
        <v>122</v>
      </c>
      <c r="E55" s="149"/>
      <c r="F55" s="149"/>
      <c r="G55" s="154"/>
      <c r="H55" s="2"/>
      <c r="I55" s="154"/>
      <c r="L55" s="136"/>
    </row>
    <row r="56" customFormat="false" ht="24" hidden="false" customHeight="true" outlineLevel="0" collapsed="false">
      <c r="D56" s="155" t="s">
        <v>140</v>
      </c>
      <c r="E56" s="155"/>
      <c r="F56" s="155"/>
      <c r="G56" s="146"/>
      <c r="H56" s="146"/>
      <c r="I56" s="146"/>
      <c r="L56" s="136"/>
    </row>
    <row r="57" customFormat="false" ht="24" hidden="false" customHeight="true" outlineLevel="0" collapsed="false">
      <c r="D57" s="155" t="s">
        <v>141</v>
      </c>
      <c r="E57" s="155"/>
      <c r="F57" s="155"/>
      <c r="G57" s="146"/>
      <c r="H57" s="146"/>
      <c r="I57" s="146"/>
      <c r="L57" s="136"/>
    </row>
    <row r="58" customFormat="false" ht="24" hidden="false" customHeight="true" outlineLevel="0" collapsed="false">
      <c r="D58" s="155" t="s">
        <v>142</v>
      </c>
      <c r="E58" s="155"/>
      <c r="F58" s="155"/>
      <c r="G58" s="146"/>
      <c r="H58" s="146"/>
      <c r="I58" s="154"/>
      <c r="L58" s="136"/>
      <c r="N58" s="156"/>
    </row>
    <row r="59" customFormat="false" ht="24" hidden="false" customHeight="true" outlineLevel="0" collapsed="false">
      <c r="D59" s="155" t="s">
        <v>143</v>
      </c>
      <c r="E59" s="155"/>
      <c r="F59" s="155"/>
      <c r="G59" s="154"/>
      <c r="H59" s="146"/>
      <c r="I59" s="154"/>
      <c r="L59" s="136"/>
      <c r="N59" s="156"/>
    </row>
    <row r="60" customFormat="false" ht="24" hidden="false" customHeight="true" outlineLevel="0" collapsed="false">
      <c r="D60" s="155" t="s">
        <v>144</v>
      </c>
      <c r="E60" s="155"/>
      <c r="F60" s="155"/>
      <c r="G60" s="154"/>
      <c r="H60" s="146"/>
      <c r="I60" s="146"/>
      <c r="L60" s="136"/>
      <c r="N60" s="156"/>
    </row>
    <row r="61" customFormat="false" ht="24" hidden="false" customHeight="true" outlineLevel="0" collapsed="false">
      <c r="E61" s="136" t="s">
        <v>145</v>
      </c>
      <c r="G61" s="157" t="n">
        <f aca="false">SUM(G55:G60)</f>
        <v>0</v>
      </c>
      <c r="H61" s="146"/>
      <c r="I61" s="157" t="n">
        <f aca="false">SUM(I55:I60)</f>
        <v>0</v>
      </c>
      <c r="L61" s="136"/>
    </row>
    <row r="62" customFormat="false" ht="24" hidden="false" customHeight="true" outlineLevel="0" collapsed="false">
      <c r="D62" s="155"/>
      <c r="E62" s="155"/>
      <c r="F62" s="155"/>
      <c r="G62" s="146"/>
      <c r="H62" s="146"/>
      <c r="I62" s="146"/>
      <c r="L62" s="136"/>
      <c r="N62" s="156"/>
    </row>
    <row r="63" customFormat="false" ht="24" hidden="false" customHeight="true" outlineLevel="0" collapsed="false">
      <c r="D63" s="155"/>
      <c r="E63" s="155"/>
      <c r="F63" s="155"/>
      <c r="G63" s="146"/>
      <c r="H63" s="146"/>
      <c r="I63" s="146"/>
      <c r="L63" s="136"/>
      <c r="N63" s="156"/>
    </row>
    <row r="64" customFormat="false" ht="24" hidden="false" customHeight="true" outlineLevel="0" collapsed="false">
      <c r="D64" s="155"/>
      <c r="E64" s="155"/>
      <c r="F64" s="155"/>
      <c r="G64" s="146"/>
      <c r="H64" s="146"/>
      <c r="I64" s="3" t="s">
        <v>0</v>
      </c>
      <c r="L64" s="136"/>
    </row>
    <row r="65" s="149" customFormat="true" ht="24" hidden="false" customHeight="true" outlineLevel="0" collapsed="false">
      <c r="A65" s="1"/>
      <c r="I65" s="3" t="s">
        <v>1</v>
      </c>
    </row>
    <row r="66" customFormat="false" ht="24" hidden="false" customHeight="true" outlineLevel="0" collapsed="false">
      <c r="A66" s="139" t="s">
        <v>146</v>
      </c>
      <c r="B66" s="139"/>
      <c r="C66" s="139"/>
      <c r="D66" s="139"/>
      <c r="E66" s="139"/>
      <c r="F66" s="139"/>
      <c r="G66" s="139"/>
      <c r="H66" s="139"/>
      <c r="I66" s="139"/>
      <c r="L66" s="136"/>
    </row>
    <row r="67" customFormat="false" ht="24" hidden="false" customHeight="true" outlineLevel="0" collapsed="false">
      <c r="A67" s="5" t="s">
        <v>3</v>
      </c>
      <c r="B67" s="5"/>
      <c r="C67" s="5"/>
      <c r="D67" s="5"/>
      <c r="E67" s="5"/>
      <c r="F67" s="5"/>
      <c r="G67" s="5"/>
      <c r="H67" s="5"/>
      <c r="I67" s="5"/>
      <c r="J67" s="140"/>
      <c r="K67" s="140"/>
      <c r="L67" s="140"/>
      <c r="M67" s="140"/>
      <c r="N67" s="140"/>
    </row>
    <row r="68" customFormat="false" ht="24" hidden="false" customHeight="true" outlineLevel="0" collapsed="false">
      <c r="A68" s="141" t="s">
        <v>128</v>
      </c>
      <c r="B68" s="141"/>
      <c r="C68" s="141"/>
      <c r="D68" s="141"/>
      <c r="E68" s="141"/>
      <c r="F68" s="141"/>
      <c r="G68" s="141"/>
      <c r="H68" s="141"/>
      <c r="I68" s="141"/>
      <c r="L68" s="136"/>
    </row>
    <row r="69" customFormat="false" ht="24" hidden="false" customHeight="true" outlineLevel="0" collapsed="false">
      <c r="A69" s="141" t="s">
        <v>92</v>
      </c>
      <c r="B69" s="141"/>
      <c r="C69" s="141"/>
      <c r="D69" s="141"/>
      <c r="E69" s="141"/>
      <c r="F69" s="141"/>
      <c r="G69" s="141"/>
      <c r="H69" s="141"/>
      <c r="I69" s="141"/>
      <c r="L69" s="136"/>
    </row>
    <row r="70" customFormat="false" ht="24" hidden="false" customHeight="true" outlineLevel="0" collapsed="false">
      <c r="D70" s="142"/>
      <c r="E70" s="142"/>
      <c r="F70" s="142"/>
      <c r="G70" s="143" t="s">
        <v>7</v>
      </c>
      <c r="H70" s="143"/>
      <c r="I70" s="143"/>
      <c r="L70" s="136"/>
    </row>
    <row r="71" customFormat="false" ht="24" hidden="false" customHeight="true" outlineLevel="0" collapsed="false">
      <c r="D71" s="142"/>
      <c r="E71" s="142"/>
      <c r="F71" s="142"/>
      <c r="G71" s="144"/>
      <c r="H71" s="145"/>
      <c r="I71" s="144"/>
      <c r="L71" s="136"/>
    </row>
    <row r="72" customFormat="false" ht="24" hidden="false" customHeight="true" outlineLevel="0" collapsed="false">
      <c r="A72" s="136" t="s">
        <v>147</v>
      </c>
      <c r="G72" s="146"/>
      <c r="H72" s="146"/>
      <c r="I72" s="146"/>
      <c r="J72" s="142"/>
      <c r="L72" s="136"/>
    </row>
    <row r="73" customFormat="false" ht="24" hidden="false" customHeight="true" outlineLevel="0" collapsed="false">
      <c r="D73" s="136" t="s">
        <v>148</v>
      </c>
      <c r="G73" s="146"/>
      <c r="H73" s="146"/>
      <c r="I73" s="146"/>
      <c r="J73" s="142"/>
      <c r="L73" s="136"/>
    </row>
    <row r="74" customFormat="false" ht="24" hidden="false" customHeight="true" outlineLevel="0" collapsed="false">
      <c r="D74" s="149" t="s">
        <v>149</v>
      </c>
      <c r="E74" s="149"/>
      <c r="F74" s="149"/>
      <c r="G74" s="146"/>
      <c r="H74" s="146"/>
      <c r="I74" s="146"/>
      <c r="J74" s="142"/>
      <c r="L74" s="136"/>
    </row>
    <row r="75" customFormat="false" ht="24" hidden="false" customHeight="true" outlineLevel="0" collapsed="false">
      <c r="D75" s="136" t="s">
        <v>150</v>
      </c>
      <c r="G75" s="146"/>
      <c r="H75" s="146"/>
      <c r="I75" s="146"/>
      <c r="L75" s="136"/>
    </row>
    <row r="76" customFormat="false" ht="24" hidden="false" customHeight="true" outlineLevel="0" collapsed="false">
      <c r="D76" s="136" t="s">
        <v>151</v>
      </c>
      <c r="G76" s="158"/>
      <c r="H76" s="2"/>
      <c r="I76" s="158"/>
      <c r="L76" s="136"/>
    </row>
    <row r="77" customFormat="false" ht="24" hidden="false" customHeight="true" outlineLevel="0" collapsed="false">
      <c r="E77" s="136" t="s">
        <v>152</v>
      </c>
      <c r="G77" s="157" t="n">
        <f aca="false">SUM(G73:G76)</f>
        <v>0</v>
      </c>
      <c r="H77" s="2"/>
      <c r="I77" s="157" t="n">
        <f aca="false">SUM(I73:I76)</f>
        <v>0</v>
      </c>
      <c r="L77" s="136"/>
    </row>
    <row r="78" customFormat="false" ht="24" hidden="false" customHeight="true" outlineLevel="0" collapsed="false">
      <c r="A78" s="136" t="s">
        <v>153</v>
      </c>
      <c r="G78" s="146"/>
      <c r="H78" s="146"/>
      <c r="I78" s="146"/>
      <c r="J78" s="146"/>
      <c r="L78" s="159"/>
    </row>
    <row r="79" customFormat="false" ht="24" hidden="false" customHeight="true" outlineLevel="0" collapsed="false">
      <c r="A79" s="136" t="s">
        <v>154</v>
      </c>
      <c r="G79" s="160"/>
      <c r="H79" s="146"/>
      <c r="I79" s="160"/>
      <c r="L79" s="159"/>
    </row>
    <row r="80" customFormat="false" ht="24" hidden="false" customHeight="true" outlineLevel="0" collapsed="false">
      <c r="A80" s="136" t="s">
        <v>155</v>
      </c>
      <c r="G80" s="161" t="n">
        <f aca="false">SUM(G78:G79)</f>
        <v>0</v>
      </c>
      <c r="H80" s="146"/>
      <c r="I80" s="161"/>
      <c r="L80" s="159"/>
    </row>
    <row r="81" customFormat="false" ht="24" hidden="false" customHeight="true" outlineLevel="0" collapsed="false">
      <c r="G81" s="2"/>
      <c r="H81" s="146"/>
      <c r="I81" s="2"/>
      <c r="L81" s="159"/>
    </row>
    <row r="82" customFormat="false" ht="24" hidden="false" customHeight="true" outlineLevel="0" collapsed="false">
      <c r="A82" s="136" t="s">
        <v>156</v>
      </c>
      <c r="G82" s="146"/>
      <c r="H82" s="146"/>
      <c r="I82" s="146"/>
      <c r="L82" s="136"/>
    </row>
    <row r="83" customFormat="false" ht="24" hidden="false" customHeight="true" outlineLevel="0" collapsed="false">
      <c r="D83" s="136" t="s">
        <v>157</v>
      </c>
      <c r="G83" s="146"/>
      <c r="H83" s="146"/>
      <c r="I83" s="146"/>
      <c r="L83" s="136"/>
    </row>
    <row r="84" customFormat="false" ht="24" hidden="false" customHeight="true" outlineLevel="0" collapsed="false">
      <c r="D84" s="136" t="s">
        <v>158</v>
      </c>
      <c r="G84" s="146"/>
      <c r="H84" s="146"/>
      <c r="I84" s="146"/>
      <c r="L84" s="136"/>
    </row>
    <row r="85" customFormat="false" ht="24" hidden="false" customHeight="true" outlineLevel="0" collapsed="false">
      <c r="D85" s="136" t="s">
        <v>159</v>
      </c>
      <c r="G85" s="146"/>
      <c r="H85" s="146"/>
      <c r="I85" s="162"/>
      <c r="L85" s="136"/>
    </row>
    <row r="86" customFormat="false" ht="24" hidden="false" customHeight="true" outlineLevel="0" collapsed="false">
      <c r="D86" s="136" t="s">
        <v>160</v>
      </c>
      <c r="G86" s="162"/>
      <c r="H86" s="146"/>
      <c r="I86" s="146"/>
      <c r="L86" s="136"/>
    </row>
    <row r="87" customFormat="false" ht="24" hidden="false" customHeight="true" outlineLevel="0" collapsed="false">
      <c r="D87" s="136" t="s">
        <v>161</v>
      </c>
      <c r="G87" s="146"/>
      <c r="H87" s="146"/>
      <c r="I87" s="162"/>
      <c r="L87" s="136"/>
    </row>
    <row r="88" customFormat="false" ht="24" hidden="false" customHeight="true" outlineLevel="0" collapsed="false">
      <c r="D88" s="136" t="s">
        <v>162</v>
      </c>
      <c r="G88" s="146"/>
      <c r="H88" s="146"/>
      <c r="I88" s="162"/>
      <c r="L88" s="136"/>
    </row>
    <row r="89" s="149" customFormat="true" ht="24" hidden="false" customHeight="true" outlineLevel="0" collapsed="false">
      <c r="A89" s="1"/>
      <c r="D89" s="136" t="s">
        <v>163</v>
      </c>
      <c r="G89" s="146"/>
      <c r="I89" s="146"/>
    </row>
    <row r="90" customFormat="false" ht="24" hidden="false" customHeight="true" outlineLevel="0" collapsed="false">
      <c r="G90" s="146"/>
      <c r="H90" s="146"/>
      <c r="I90" s="20"/>
    </row>
    <row r="91" customFormat="false" ht="24" hidden="false" customHeight="true" outlineLevel="0" collapsed="false">
      <c r="G91" s="146"/>
      <c r="H91" s="146"/>
      <c r="I91" s="146"/>
    </row>
    <row r="92" customFormat="false" ht="24" hidden="false" customHeight="true" outlineLevel="0" collapsed="false">
      <c r="G92" s="146"/>
      <c r="H92" s="146"/>
      <c r="I92" s="146"/>
    </row>
    <row r="93" customFormat="false" ht="24" hidden="false" customHeight="true" outlineLevel="0" collapsed="false">
      <c r="G93" s="146"/>
      <c r="H93" s="146"/>
      <c r="I93" s="146"/>
    </row>
    <row r="94" customFormat="false" ht="24" hidden="false" customHeight="true" outlineLevel="0" collapsed="false">
      <c r="G94" s="146"/>
      <c r="H94" s="146"/>
      <c r="I94" s="146"/>
    </row>
    <row r="95" customFormat="false" ht="24" hidden="false" customHeight="true" outlineLevel="0" collapsed="false">
      <c r="G95" s="146"/>
      <c r="H95" s="146"/>
      <c r="I95" s="146"/>
    </row>
    <row r="96" customFormat="false" ht="24" hidden="false" customHeight="true" outlineLevel="0" collapsed="false">
      <c r="G96" s="146"/>
      <c r="H96" s="146"/>
      <c r="I96" s="146"/>
    </row>
    <row r="97" customFormat="false" ht="24" hidden="false" customHeight="true" outlineLevel="0" collapsed="false">
      <c r="G97" s="146"/>
      <c r="H97" s="146"/>
      <c r="I97" s="146"/>
    </row>
    <row r="98" customFormat="false" ht="24" hidden="false" customHeight="true" outlineLevel="0" collapsed="false">
      <c r="G98" s="146"/>
      <c r="H98" s="146"/>
      <c r="I98" s="146"/>
    </row>
    <row r="99" customFormat="false" ht="24" hidden="false" customHeight="true" outlineLevel="0" collapsed="false">
      <c r="G99" s="146"/>
      <c r="H99" s="146"/>
      <c r="I99" s="146"/>
    </row>
    <row r="100" customFormat="false" ht="24" hidden="false" customHeight="true" outlineLevel="0" collapsed="false">
      <c r="G100" s="146"/>
      <c r="H100" s="146"/>
      <c r="I100" s="146"/>
    </row>
    <row r="101" customFormat="false" ht="24" hidden="false" customHeight="true" outlineLevel="0" collapsed="false">
      <c r="G101" s="146"/>
      <c r="H101" s="146"/>
      <c r="I101" s="146"/>
    </row>
    <row r="102" customFormat="false" ht="24" hidden="false" customHeight="true" outlineLevel="0" collapsed="false">
      <c r="G102" s="146"/>
      <c r="H102" s="146"/>
      <c r="I102" s="146"/>
    </row>
    <row r="103" customFormat="false" ht="24" hidden="false" customHeight="true" outlineLevel="0" collapsed="false">
      <c r="G103" s="146"/>
      <c r="H103" s="146"/>
      <c r="I103" s="146"/>
    </row>
    <row r="104" customFormat="false" ht="24" hidden="false" customHeight="true" outlineLevel="0" collapsed="false">
      <c r="G104" s="146"/>
      <c r="H104" s="146"/>
      <c r="I104" s="146"/>
    </row>
    <row r="105" customFormat="false" ht="24" hidden="false" customHeight="true" outlineLevel="0" collapsed="false">
      <c r="G105" s="146"/>
      <c r="H105" s="146"/>
      <c r="I105" s="146"/>
    </row>
    <row r="106" customFormat="false" ht="24" hidden="false" customHeight="true" outlineLevel="0" collapsed="false">
      <c r="G106" s="146"/>
      <c r="H106" s="146"/>
      <c r="I106" s="146"/>
    </row>
  </sheetData>
  <mergeCells count="15">
    <mergeCell ref="A3:I3"/>
    <mergeCell ref="A4:I4"/>
    <mergeCell ref="A5:I5"/>
    <mergeCell ref="A6:I6"/>
    <mergeCell ref="G7:I7"/>
    <mergeCell ref="A35:I35"/>
    <mergeCell ref="A36:I36"/>
    <mergeCell ref="A37:I37"/>
    <mergeCell ref="A38:I38"/>
    <mergeCell ref="G39:I39"/>
    <mergeCell ref="A66:I66"/>
    <mergeCell ref="A67:I67"/>
    <mergeCell ref="A68:I68"/>
    <mergeCell ref="A69:I69"/>
    <mergeCell ref="G70:I70"/>
  </mergeCells>
  <printOptions headings="false" gridLines="false" gridLinesSet="true" horizontalCentered="true" verticalCentered="false"/>
  <pageMargins left="0.629861111111111" right="0.315277777777778" top="0.511805555555556" bottom="1.18125" header="0.511811023622047" footer="1.181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&amp;L&amp;"Angsana New,Regular"&amp;16 หมายเหตุประกอบงบการเงินระหว่างกาลเป็นส่วนหนึ่งของงบการเงินระหว่างกาลนี้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2026-04-20T06:41:58Z</dcterms:created>
  <dc:creator>DAA1-TRAINEE</dc:creator>
  <dc:description/>
  <dc:language>en-US</dc:language>
  <cp:lastModifiedBy>daa670183 dharmniti</cp:lastModifiedBy>
  <cp:lastPrinted>2026-08-06T04:39:39Z</cp:lastPrinted>
  <dcterms:modified xsi:type="dcterms:W3CDTF">2026-08-19T04:37:24Z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